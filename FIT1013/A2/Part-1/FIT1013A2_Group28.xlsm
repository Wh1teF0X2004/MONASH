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nash\FIT1013\ASSIGNMENT\"/>
    </mc:Choice>
  </mc:AlternateContent>
  <xr:revisionPtr revIDLastSave="0" documentId="13_ncr:1_{C2E2F060-94DB-4858-AACE-DBA306373D77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Documentation" sheetId="7" r:id="rId1"/>
    <sheet name="Menu" sheetId="8" r:id="rId2"/>
    <sheet name="Customer" sheetId="1" r:id="rId3"/>
    <sheet name="CarDetails" sheetId="2" r:id="rId4"/>
    <sheet name="Add-ons" sheetId="6" r:id="rId5"/>
    <sheet name="RentalDetails" sheetId="3" r:id="rId6"/>
  </sheets>
  <definedNames>
    <definedName name="AMGCR">CarDetails!$A$45:$A$46</definedName>
    <definedName name="AMGCY">CarDetails!$D$45:$D$46</definedName>
    <definedName name="AstMartCM">CarDetails!$C$2:$C$6</definedName>
    <definedName name="AstMartCR">CarDetails!$A$2:$A$6</definedName>
    <definedName name="AstMartCY">CarDetails!$D$2:$D$6</definedName>
    <definedName name="AudiCM">CarDetails!$C$7:$C$15</definedName>
    <definedName name="AudiCR">CarDetails!$A$7:$A$15</definedName>
    <definedName name="BentaygaCR">CarDetails!$A$16:$A$17</definedName>
    <definedName name="BentaygaSCY">CarDetails!$D$16:$D$17</definedName>
    <definedName name="BentCM">CarDetails!$C$16:$C$24</definedName>
    <definedName name="BentleyCR">CarDetails!$A$16:$A$24</definedName>
    <definedName name="BMWCM">CarDetails!$C$25:$C$34</definedName>
    <definedName name="BMWCR">CarDetails!$A$25:$A$34</definedName>
    <definedName name="BOXCR">CarDetails!$A$55</definedName>
    <definedName name="BoxCY">CarDetails!$D$55</definedName>
    <definedName name="CAYECR">CarDetails!$A$56</definedName>
    <definedName name="CayenneCY">CarDetails!$D$56</definedName>
    <definedName name="CAYMANCR">CarDetails!$A$57</definedName>
    <definedName name="CaymanCY">CarDetails!$D$57</definedName>
    <definedName name="CAYMCR">CarDetails!$A$56</definedName>
    <definedName name="ContGTCR">CarDetails!$A$18:$A$20</definedName>
    <definedName name="ContGTCY">CarDetails!$D$18:$D$20</definedName>
    <definedName name="ContSsCR">CarDetails!$A$21</definedName>
    <definedName name="ContSsCY">CarDetails!$D$21</definedName>
    <definedName name="cullCR">CarDetails!$A$63:$A$64</definedName>
    <definedName name="CullCY">CarDetails!$D$63:$D$64</definedName>
    <definedName name="Customer">Customer!$A$1:$I$21</definedName>
    <definedName name="Dress">CarDetails!$A$1:$E$21</definedName>
    <definedName name="EClassCR">CarDetails!$A$48</definedName>
    <definedName name="EclassCY">CarDetails!$D$48</definedName>
    <definedName name="epaceCR">CarDetails!$A$35:$A$39</definedName>
    <definedName name="EpaceCY">CarDetails!$D$35:$D$39</definedName>
    <definedName name="FlyCR">CarDetails!$A$22:$A$24</definedName>
    <definedName name="FlySCY">CarDetails!$D$22:$D$24</definedName>
    <definedName name="GhibliCR">CarDetails!$A$40:$A$41</definedName>
    <definedName name="GhibliCY">CarDetails!$D$40:$D$41</definedName>
    <definedName name="ghostCR">CarDetails!$A$65</definedName>
    <definedName name="GhostCY">CarDetails!$D$65</definedName>
    <definedName name="GLECR">CarDetails!$A$47</definedName>
    <definedName name="GLECY">CarDetails!$D$47,CarDetails!$D$49,CarDetails!$D$50,CarDetails!$D$51</definedName>
    <definedName name="i8CR">CarDetails!$A$29</definedName>
    <definedName name="i8CY">CarDetails!$D$29</definedName>
    <definedName name="JagCM">CarDetails!$C$35:$C$39</definedName>
    <definedName name="JAGCR">CarDetails!$A$35:$A$39</definedName>
    <definedName name="MacanCR">CarDetails!$A$58:$A$60</definedName>
    <definedName name="MacanCY">CarDetails!$D$58:$D$59</definedName>
    <definedName name="MACANnewCR">CarDetails!$A$58:$A$59</definedName>
    <definedName name="MasCM">CarDetails!$C$40:$C$44</definedName>
    <definedName name="MASCR">CarDetails!$A$40:$A$44</definedName>
    <definedName name="MercCM">CarDetails!$C$45:$C$52</definedName>
    <definedName name="MERCR">CarDetails!$A$45:$A$52</definedName>
    <definedName name="MerGLECR">CarDetails!$A$47,CarDetails!$A$49:$A$51</definedName>
    <definedName name="Nine11CR">CarDetails!$A$53:$A$54</definedName>
    <definedName name="Nine11CY">CarDetails!$D$53:$D$54</definedName>
    <definedName name="panCR">CarDetails!$A$60:$A$62</definedName>
    <definedName name="PanCY">CarDetails!$D$60:$D$62</definedName>
    <definedName name="PapideCR">CarDetails!$A$2:$A$4</definedName>
    <definedName name="phantCR">CarDetails!$A$66:$A$67</definedName>
    <definedName name="PhantomCY">CarDetails!$D$66:$D$67</definedName>
    <definedName name="PorCM">CarDetails!$C$53:$C$62</definedName>
    <definedName name="PORCR">CarDetails!$A$53:$A$62</definedName>
    <definedName name="Q7CR">CarDetails!$A$11:$A$12</definedName>
    <definedName name="Q7CY">CarDetails!$D$11:$D$12</definedName>
    <definedName name="QuaCR">CarDetails!$A$42:$A$44</definedName>
    <definedName name="QuaCY">CarDetails!$D$42:$D$44</definedName>
    <definedName name="RapideCR">CarDetails!$A$2:$A$4</definedName>
    <definedName name="RapideCY">CarDetails!$D$2:$D$4</definedName>
    <definedName name="Rental">RentalDetails!$B$1:$H$1</definedName>
    <definedName name="RRCM">CarDetails!$C$63:$C$67</definedName>
    <definedName name="RRCR">CarDetails!$A$63:$A$67</definedName>
    <definedName name="RS5CR">CarDetails!$A$14:$A$15,CarDetails!$A$8,CarDetails!$A$7</definedName>
    <definedName name="RS5CY">CarDetails!$D$7:$D$8,CarDetails!$D$14,CarDetails!$D$15</definedName>
    <definedName name="RSQ8CR">CarDetails!$A$9:$A$10,CarDetails!$A$13</definedName>
    <definedName name="RSQ8CY">CarDetails!$D$9:$D$10,CarDetails!$D$13</definedName>
    <definedName name="SClassCR">CarDetails!$A$52</definedName>
    <definedName name="SclassCY">CarDetails!$D$52</definedName>
    <definedName name="SevenSCR">CarDetails!$A$25:$A$28</definedName>
    <definedName name="SevenSCY">CarDetails!$D$25:$D$28</definedName>
    <definedName name="VantageCR">CarDetails!$A$5:$A$6</definedName>
    <definedName name="VantageCY">CarDetails!$D$5:$D$6</definedName>
    <definedName name="x7CR">CarDetails!$A$30:$A$33</definedName>
    <definedName name="X7CY">CarDetails!$D$30:$D$33</definedName>
    <definedName name="z4CR">CarDetails!$A$34</definedName>
    <definedName name="Z4CY">CarDetails!$D$34</definedName>
  </definedNames>
  <calcPr calcId="191028"/>
</workbook>
</file>

<file path=xl/calcChain.xml><?xml version="1.0" encoding="utf-8"?>
<calcChain xmlns="http://schemas.openxmlformats.org/spreadsheetml/2006/main">
  <c r="I4" i="3" l="1"/>
  <c r="I3" i="3"/>
  <c r="I2" i="3"/>
  <c r="H3" i="3" l="1"/>
  <c r="H4" i="3"/>
  <c r="H5" i="3"/>
  <c r="H6" i="3"/>
  <c r="H7" i="3"/>
  <c r="H8" i="3"/>
  <c r="H9" i="3"/>
  <c r="H10" i="3"/>
  <c r="H11" i="3"/>
  <c r="H2" i="3"/>
  <c r="I6" i="3"/>
  <c r="I7" i="3"/>
  <c r="I5" i="3"/>
</calcChain>
</file>

<file path=xl/sharedStrings.xml><?xml version="1.0" encoding="utf-8"?>
<sst xmlns="http://schemas.openxmlformats.org/spreadsheetml/2006/main" count="417" uniqueCount="295">
  <si>
    <t>LuxDrive</t>
  </si>
  <si>
    <t>FIT1013 Digital futures: IT for business</t>
  </si>
  <si>
    <t>Author</t>
  </si>
  <si>
    <t>FIT1013_A2_Group28</t>
  </si>
  <si>
    <t>Student Name | Student ID</t>
  </si>
  <si>
    <t>Joshua Weng Kei Leong</t>
  </si>
  <si>
    <t xml:space="preserve">Foo Kai Yan </t>
  </si>
  <si>
    <t xml:space="preserve">Aaron Siah Wei Ern </t>
  </si>
  <si>
    <t>Alicia Quek Chik Wen</t>
  </si>
  <si>
    <t>Date of Completion</t>
  </si>
  <si>
    <t>Assignment</t>
  </si>
  <si>
    <t>FIT1013 Assignment 2 Part I</t>
  </si>
  <si>
    <t>Purpose</t>
  </si>
  <si>
    <t>Comprehensive solution to manage lux drive fleet, customer data, bookings, and vehicle deliveries and returns</t>
  </si>
  <si>
    <t>accelerator keys</t>
  </si>
  <si>
    <t>customer info</t>
  </si>
  <si>
    <t>shift + q</t>
  </si>
  <si>
    <t>new rental</t>
  </si>
  <si>
    <t>shift + w</t>
  </si>
  <si>
    <t>complete rental</t>
  </si>
  <si>
    <t>shift + e</t>
  </si>
  <si>
    <t>display rental</t>
  </si>
  <si>
    <t>shift + r</t>
  </si>
  <si>
    <t>CustomerID</t>
  </si>
  <si>
    <t>LastName</t>
  </si>
  <si>
    <t>FirstName</t>
  </si>
  <si>
    <t>Address</t>
  </si>
  <si>
    <t>City</t>
  </si>
  <si>
    <t>State</t>
  </si>
  <si>
    <t>Postcode</t>
  </si>
  <si>
    <t>Telephone</t>
  </si>
  <si>
    <t>EmailAddress</t>
  </si>
  <si>
    <t>Smith</t>
  </si>
  <si>
    <t>Emma</t>
  </si>
  <si>
    <t>123 Johnson Street</t>
  </si>
  <si>
    <t>Sydney</t>
  </si>
  <si>
    <t>NSW</t>
  </si>
  <si>
    <t>0412 345 678</t>
  </si>
  <si>
    <t>emma.smith@sparkmail.net</t>
  </si>
  <si>
    <t>Johnson</t>
  </si>
  <si>
    <t>Liam</t>
  </si>
  <si>
    <t>456 Smith Avenue</t>
  </si>
  <si>
    <t>Melbourne</t>
  </si>
  <si>
    <t>VIC</t>
  </si>
  <si>
    <t>0421 987 654</t>
  </si>
  <si>
    <t>liam.johnson@skylineemail.com</t>
  </si>
  <si>
    <t>Williams</t>
  </si>
  <si>
    <t>Olivia</t>
  </si>
  <si>
    <t>789 Park Road</t>
  </si>
  <si>
    <t>Brisbane</t>
  </si>
  <si>
    <t>QLD</t>
  </si>
  <si>
    <t>0430 123 456</t>
  </si>
  <si>
    <t>olivia.williams@oceanwave.org</t>
  </si>
  <si>
    <t>Jones</t>
  </si>
  <si>
    <t>Noah</t>
  </si>
  <si>
    <t>101 King Street</t>
  </si>
  <si>
    <t>Perth</t>
  </si>
  <si>
    <t>WA</t>
  </si>
  <si>
    <t>0449 876 543</t>
  </si>
  <si>
    <t>noah.jones@crimsonmail.xyz</t>
  </si>
  <si>
    <t>Brown</t>
  </si>
  <si>
    <t>Ava</t>
  </si>
  <si>
    <t>222 Taylor Crescent</t>
  </si>
  <si>
    <t>Adelaide</t>
  </si>
  <si>
    <t>SA</t>
  </si>
  <si>
    <t>0456 234 567</t>
  </si>
  <si>
    <t>ava.brown@zenithmail.co</t>
  </si>
  <si>
    <t>Davis</t>
  </si>
  <si>
    <t>Isabella</t>
  </si>
  <si>
    <t>333 Beach Boulevard</t>
  </si>
  <si>
    <t>Gold Coast</t>
  </si>
  <si>
    <t>0467 890 123</t>
  </si>
  <si>
    <t>isabella.davis@peakmail.org</t>
  </si>
  <si>
    <t>Miller</t>
  </si>
  <si>
    <t>Sophia</t>
  </si>
  <si>
    <t>444 Capital Avenue</t>
  </si>
  <si>
    <t>Canberra</t>
  </si>
  <si>
    <t>ACT</t>
  </si>
  <si>
    <t>0478 901 234</t>
  </si>
  <si>
    <t>sophia.miller@orbitalmail.net</t>
  </si>
  <si>
    <t>Wilson</t>
  </si>
  <si>
    <t>Mia</t>
  </si>
  <si>
    <t>555 Hunter Lane</t>
  </si>
  <si>
    <t>Newcastle</t>
  </si>
  <si>
    <t>0489 345 678</t>
  </si>
  <si>
    <t>mia.wilson@cascadeemail.com</t>
  </si>
  <si>
    <t>Moore</t>
  </si>
  <si>
    <t>Jackson</t>
  </si>
  <si>
    <t>666 Mountain View Drive</t>
  </si>
  <si>
    <t>Hobart</t>
  </si>
  <si>
    <t>TAS</t>
  </si>
  <si>
    <t>0490 234 567</t>
  </si>
  <si>
    <t>jackson.moore@horizonmail.xyz</t>
  </si>
  <si>
    <t>Taylor</t>
  </si>
  <si>
    <t>Aiden</t>
  </si>
  <si>
    <t>777 Outback Drive</t>
  </si>
  <si>
    <t>Darwin</t>
  </si>
  <si>
    <t>NT</t>
  </si>
  <si>
    <t>0401 678 901</t>
  </si>
  <si>
    <t>aiden.taylor@auroramail.co</t>
  </si>
  <si>
    <t>Anderson</t>
  </si>
  <si>
    <t>Lucas</t>
  </si>
  <si>
    <t>888 Reef Street</t>
  </si>
  <si>
    <t>Cairns</t>
  </si>
  <si>
    <t>0416 789 012</t>
  </si>
  <si>
    <t>lucas.anderson@stellarwave.org</t>
  </si>
  <si>
    <t>Thomas</t>
  </si>
  <si>
    <t>Oliver</t>
  </si>
  <si>
    <t>999 Coastal Drive</t>
  </si>
  <si>
    <t>Wollongong</t>
  </si>
  <si>
    <t>0427 890 123</t>
  </si>
  <si>
    <t>oliver.thomas@lunarmail.net</t>
  </si>
  <si>
    <t>Amelia</t>
  </si>
  <si>
    <t>111 Moorabool Street</t>
  </si>
  <si>
    <t>Geelong</t>
  </si>
  <si>
    <t>0438 901 234</t>
  </si>
  <si>
    <t>amelia.jackson@solarismail.xyz</t>
  </si>
  <si>
    <t>White</t>
  </si>
  <si>
    <t>Harper</t>
  </si>
  <si>
    <t>222 Strand Avenue</t>
  </si>
  <si>
    <t>Townsville</t>
  </si>
  <si>
    <t>0445 123 456</t>
  </si>
  <si>
    <t>harper.white@equinoxmail.co</t>
  </si>
  <si>
    <t>Harris</t>
  </si>
  <si>
    <t>Evelyn</t>
  </si>
  <si>
    <t>333 Range Road</t>
  </si>
  <si>
    <t>Toowoomba</t>
  </si>
  <si>
    <t>0458 234 567</t>
  </si>
  <si>
    <t>evelyn.harris@cosmicmail.org</t>
  </si>
  <si>
    <t>Martin</t>
  </si>
  <si>
    <t>Abigail</t>
  </si>
  <si>
    <t>444 Riverbank Place</t>
  </si>
  <si>
    <t>Launceston</t>
  </si>
  <si>
    <t>0469 345 678</t>
  </si>
  <si>
    <t>abigail.martin@nebulaemail.com</t>
  </si>
  <si>
    <t>Thompson</t>
  </si>
  <si>
    <t>Emily</t>
  </si>
  <si>
    <t>555 Sovereign Street</t>
  </si>
  <si>
    <t>Ballarat</t>
  </si>
  <si>
    <t>0470 456 789</t>
  </si>
  <si>
    <t>emily.thompson@novaemail.co</t>
  </si>
  <si>
    <t>Garcia</t>
  </si>
  <si>
    <t>Elizabeth</t>
  </si>
  <si>
    <t>666 Goldfields Road</t>
  </si>
  <si>
    <t>Bendigo</t>
  </si>
  <si>
    <t>0481 567 890</t>
  </si>
  <si>
    <t>elizabeth.garcia@quasarmail.net</t>
  </si>
  <si>
    <t>Martinez</t>
  </si>
  <si>
    <t>Michael</t>
  </si>
  <si>
    <t>777 Sugarland Drive</t>
  </si>
  <si>
    <t>Mackay</t>
  </si>
  <si>
    <t>0492 678 901</t>
  </si>
  <si>
    <t>michael.martinez@cometmail.xyz</t>
  </si>
  <si>
    <t>Robinson</t>
  </si>
  <si>
    <t>William</t>
  </si>
  <si>
    <t>888 Oceanview Terrace</t>
  </si>
  <si>
    <t>Bunbury</t>
  </si>
  <si>
    <t>0403 789 012</t>
  </si>
  <si>
    <t>william.robinson@asterismail.co</t>
  </si>
  <si>
    <t>CarRego</t>
    <phoneticPr fontId="1" type="noConversion"/>
  </si>
  <si>
    <t>CarMake</t>
    <phoneticPr fontId="1" type="noConversion"/>
  </si>
  <si>
    <t>CarModel</t>
    <phoneticPr fontId="1" type="noConversion"/>
  </si>
  <si>
    <t>CarYear</t>
    <phoneticPr fontId="1" type="noConversion"/>
  </si>
  <si>
    <t>Rent per day (AUD)</t>
    <phoneticPr fontId="1" type="noConversion"/>
  </si>
  <si>
    <t>CarValue (AUD)</t>
    <phoneticPr fontId="1" type="noConversion"/>
  </si>
  <si>
    <t>ABK123</t>
  </si>
  <si>
    <t>Aston Martin</t>
  </si>
  <si>
    <t>Rapide</t>
  </si>
  <si>
    <t>XYZ987</t>
  </si>
  <si>
    <t>GHI456</t>
  </si>
  <si>
    <t>JKL789</t>
  </si>
  <si>
    <t>Vantage</t>
  </si>
  <si>
    <t>MNO012</t>
  </si>
  <si>
    <t>PQR345</t>
  </si>
  <si>
    <t>Audi</t>
  </si>
  <si>
    <t>RS5</t>
  </si>
  <si>
    <t>STU678</t>
  </si>
  <si>
    <t>VWX901</t>
  </si>
  <si>
    <t>RS Q8</t>
  </si>
  <si>
    <t>YZA234</t>
  </si>
  <si>
    <t>BCD567</t>
  </si>
  <si>
    <t>Q7</t>
  </si>
  <si>
    <t>EFG890</t>
  </si>
  <si>
    <t>HIJ123</t>
  </si>
  <si>
    <t>KLM456</t>
  </si>
  <si>
    <t>NOP789</t>
  </si>
  <si>
    <t>QRS012</t>
  </si>
  <si>
    <t>Bentley</t>
  </si>
  <si>
    <t>Bentayga S</t>
  </si>
  <si>
    <t>TUV345</t>
  </si>
  <si>
    <t>WXY678</t>
  </si>
  <si>
    <t>Continental GT</t>
  </si>
  <si>
    <t>ZAB901</t>
  </si>
  <si>
    <t>CDE234</t>
  </si>
  <si>
    <t>FGH567</t>
  </si>
  <si>
    <t>Continental Supersports</t>
  </si>
  <si>
    <t>IJK890</t>
  </si>
  <si>
    <t>Flying Spur</t>
  </si>
  <si>
    <t>LMN123</t>
  </si>
  <si>
    <t>OPQ456</t>
  </si>
  <si>
    <t>RST789</t>
  </si>
  <si>
    <t>BMW</t>
  </si>
  <si>
    <t>7 Series</t>
  </si>
  <si>
    <t>UVW012</t>
  </si>
  <si>
    <t>XYZ345</t>
  </si>
  <si>
    <t>ABC678</t>
  </si>
  <si>
    <t>DEF901</t>
  </si>
  <si>
    <t>i8</t>
  </si>
  <si>
    <t>GHI234</t>
  </si>
  <si>
    <t>X7</t>
  </si>
  <si>
    <t>JKL567</t>
  </si>
  <si>
    <t>MNO890</t>
  </si>
  <si>
    <t>PQR123</t>
  </si>
  <si>
    <t>STU456</t>
  </si>
  <si>
    <t>Z4</t>
  </si>
  <si>
    <t>VWX789</t>
  </si>
  <si>
    <t>Jaguar</t>
  </si>
  <si>
    <t>E-PACE</t>
  </si>
  <si>
    <t>YZA012</t>
  </si>
  <si>
    <t>BCD345</t>
  </si>
  <si>
    <t>EFG678</t>
  </si>
  <si>
    <t>HIJ901</t>
  </si>
  <si>
    <t>KLM234</t>
  </si>
  <si>
    <t>Maserati</t>
  </si>
  <si>
    <t>Ghibli</t>
  </si>
  <si>
    <t>NOP567</t>
  </si>
  <si>
    <t>OPQ890</t>
  </si>
  <si>
    <t>Quattroporte</t>
  </si>
  <si>
    <t>RST123</t>
  </si>
  <si>
    <t>UVW456</t>
  </si>
  <si>
    <t>XYZ789</t>
  </si>
  <si>
    <t>Mercedes-Benz</t>
    <phoneticPr fontId="1" type="noConversion"/>
  </si>
  <si>
    <t>AMG GT</t>
    <phoneticPr fontId="1" type="noConversion"/>
  </si>
  <si>
    <t>ABC012</t>
  </si>
  <si>
    <t>Mercedes-Benz</t>
  </si>
  <si>
    <t>AMG GT</t>
  </si>
  <si>
    <t>DEF345</t>
  </si>
  <si>
    <t>GLE</t>
  </si>
  <si>
    <t>GHI678</t>
  </si>
  <si>
    <t>E-Class</t>
  </si>
  <si>
    <t>JKL901</t>
  </si>
  <si>
    <t>MNO234</t>
  </si>
  <si>
    <t>PQR567</t>
  </si>
  <si>
    <t>STU890</t>
  </si>
  <si>
    <t>S-Class</t>
  </si>
  <si>
    <t>VWX123</t>
  </si>
  <si>
    <t>Porsche</t>
  </si>
  <si>
    <t>YZA456</t>
  </si>
  <si>
    <t>BCD789</t>
  </si>
  <si>
    <t>Boxster</t>
  </si>
  <si>
    <t>EFG012</t>
  </si>
  <si>
    <t>Cayenne</t>
  </si>
  <si>
    <t>HIJ345</t>
  </si>
  <si>
    <t>Cayman</t>
  </si>
  <si>
    <t>KLM678</t>
  </si>
  <si>
    <t>Macan</t>
  </si>
  <si>
    <t>NOP901</t>
  </si>
  <si>
    <t>OPQ234</t>
  </si>
  <si>
    <t>Panamera</t>
  </si>
  <si>
    <t>RST567</t>
  </si>
  <si>
    <t>UVW890</t>
  </si>
  <si>
    <t>ABC456</t>
  </si>
  <si>
    <t>Rolls-Royce</t>
  </si>
  <si>
    <t>Cullinan</t>
  </si>
  <si>
    <t>DEF789</t>
  </si>
  <si>
    <t>GHI012</t>
  </si>
  <si>
    <t>Ghost</t>
  </si>
  <si>
    <t>JKL345</t>
  </si>
  <si>
    <t>Phantom</t>
  </si>
  <si>
    <t>MNO678</t>
  </si>
  <si>
    <t>ItemID</t>
    <phoneticPr fontId="1" type="noConversion"/>
  </si>
  <si>
    <t>ItemName</t>
    <phoneticPr fontId="1" type="noConversion"/>
  </si>
  <si>
    <t>QoH</t>
    <phoneticPr fontId="1" type="noConversion"/>
  </si>
  <si>
    <t>GPS Navigation System</t>
    <phoneticPr fontId="1" type="noConversion"/>
  </si>
  <si>
    <t>Child Safety Seat</t>
    <phoneticPr fontId="1" type="noConversion"/>
  </si>
  <si>
    <t>Toll Pass</t>
    <phoneticPr fontId="1" type="noConversion"/>
  </si>
  <si>
    <t>Portable Coolers</t>
    <phoneticPr fontId="1" type="noConversion"/>
  </si>
  <si>
    <t>Roof Racks</t>
    <phoneticPr fontId="1" type="noConversion"/>
  </si>
  <si>
    <t>RentalID</t>
    <phoneticPr fontId="1" type="noConversion"/>
  </si>
  <si>
    <t>RentDate</t>
    <phoneticPr fontId="1" type="noConversion"/>
  </si>
  <si>
    <t>ReturnDate</t>
    <phoneticPr fontId="1" type="noConversion"/>
  </si>
  <si>
    <t>ReturnCondition</t>
    <phoneticPr fontId="1" type="noConversion"/>
  </si>
  <si>
    <t>Add-ons</t>
    <phoneticPr fontId="1" type="noConversion"/>
  </si>
  <si>
    <t>DeliveryAddress</t>
  </si>
  <si>
    <t>TotalRentalFees</t>
    <phoneticPr fontId="1" type="noConversion"/>
  </si>
  <si>
    <t>RNT1001</t>
    <phoneticPr fontId="1" type="noConversion"/>
  </si>
  <si>
    <t>Good</t>
    <phoneticPr fontId="1" type="noConversion"/>
  </si>
  <si>
    <t>Fair</t>
    <phoneticPr fontId="1" type="noConversion"/>
  </si>
  <si>
    <t>RNT1002</t>
    <phoneticPr fontId="1" type="noConversion"/>
  </si>
  <si>
    <t>RNT1003</t>
    <phoneticPr fontId="1" type="noConversion"/>
  </si>
  <si>
    <t>Dirty</t>
    <phoneticPr fontId="1" type="noConversion"/>
  </si>
  <si>
    <t>Damaged</t>
    <phoneticPr fontId="1" type="noConversion"/>
  </si>
  <si>
    <t>RNT1004</t>
    <phoneticPr fontId="1" type="noConversion"/>
  </si>
  <si>
    <t>RNT1005</t>
    <phoneticPr fontId="1" type="noConversion"/>
  </si>
  <si>
    <t>RNT1006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</si>
</sst>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[$$-409]* #,##0.00_);_([$$-409]* \(#,##0.00\);_([$$-409]* &quot;-&quot;??_);_(@_)"/>
    <numFmt numFmtId="165" formatCode="0.00_);[Red]\(0.00\)"/>
    <numFmt numFmtId="166" formatCode="m&quot;月&quot;d&quot;日&quot;"/>
  </numFmts>
  <fonts count="9"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rgb="FF000000"/>
      <name val="Calibri"/>
      <family val="2"/>
      <scheme val="minor"/>
    </font>
    <font>
      <sz val="18"/>
      <color rgb="FF000000"/>
      <name val="Calibri"/>
      <family val="2"/>
      <scheme val="minor"/>
    </font>
    <font>
      <sz val="18"/>
      <name val="Calibri"/>
      <family val="2"/>
      <scheme val="minor"/>
    </font>
    <font>
      <sz val="48"/>
      <color rgb="FFFFFFFF"/>
      <name val="Lucida Handwriting"/>
      <family val="4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6365C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49" fontId="0" fillId="0" borderId="0" xfId="0" applyNumberFormat="1"/>
    <xf numFmtId="22" fontId="0" fillId="0" borderId="0" xfId="0" applyNumberFormat="1"/>
    <xf numFmtId="0" fontId="0" fillId="2" borderId="0" xfId="0" applyFill="1"/>
    <xf numFmtId="164" fontId="0" fillId="0" borderId="0" xfId="0" applyNumberFormat="1"/>
    <xf numFmtId="164" fontId="0" fillId="2" borderId="0" xfId="0" applyNumberFormat="1" applyFill="1"/>
    <xf numFmtId="0" fontId="3" fillId="0" borderId="0" xfId="0" applyFont="1"/>
    <xf numFmtId="165" fontId="0" fillId="0" borderId="0" xfId="0" applyNumberFormat="1"/>
    <xf numFmtId="0" fontId="0" fillId="0" borderId="0" xfId="0" applyAlignment="1">
      <alignment horizontal="left"/>
    </xf>
    <xf numFmtId="49" fontId="3" fillId="0" borderId="0" xfId="0" applyNumberFormat="1" applyFont="1"/>
    <xf numFmtId="0" fontId="2" fillId="0" borderId="0" xfId="1" applyAlignment="1">
      <alignment vertical="center"/>
    </xf>
    <xf numFmtId="166" fontId="0" fillId="0" borderId="0" xfId="0" applyNumberFormat="1"/>
    <xf numFmtId="17" fontId="0" fillId="0" borderId="0" xfId="0" applyNumberFormat="1"/>
    <xf numFmtId="0" fontId="6" fillId="5" borderId="1" xfId="0" applyFont="1" applyFill="1" applyBorder="1" applyAlignment="1">
      <alignment horizontal="justify" vertical="justify"/>
    </xf>
    <xf numFmtId="0" fontId="5" fillId="0" borderId="1" xfId="0" applyFont="1" applyBorder="1" applyAlignment="1">
      <alignment horizontal="justify" vertical="justify" wrapText="1"/>
    </xf>
    <xf numFmtId="0" fontId="8" fillId="0" borderId="1" xfId="0" applyFont="1" applyBorder="1" applyAlignment="1">
      <alignment horizontal="justify" vertical="justify"/>
    </xf>
    <xf numFmtId="0" fontId="8" fillId="6" borderId="1" xfId="0" applyFont="1" applyFill="1" applyBorder="1" applyAlignment="1">
      <alignment horizontal="justify" vertical="center"/>
    </xf>
    <xf numFmtId="14" fontId="5" fillId="0" borderId="1" xfId="0" applyNumberFormat="1" applyFont="1" applyBorder="1" applyAlignment="1">
      <alignment horizontal="justify" vertical="justify" wrapText="1"/>
    </xf>
    <xf numFmtId="0" fontId="5" fillId="0" borderId="1" xfId="0" applyFont="1" applyBorder="1" applyAlignment="1">
      <alignment horizontal="justify" vertical="justify" wrapText="1"/>
    </xf>
    <xf numFmtId="0" fontId="8" fillId="0" borderId="1" xfId="0" applyFont="1" applyBorder="1" applyAlignment="1">
      <alignment horizontal="justify" vertical="center" wrapText="1"/>
    </xf>
    <xf numFmtId="0" fontId="6" fillId="5" borderId="3" xfId="0" applyFont="1" applyFill="1" applyBorder="1" applyAlignment="1">
      <alignment horizontal="justify" vertical="center" wrapText="1"/>
    </xf>
    <xf numFmtId="0" fontId="6" fillId="5" borderId="4" xfId="0" applyFont="1" applyFill="1" applyBorder="1" applyAlignment="1">
      <alignment horizontal="justify" vertical="center" wrapText="1"/>
    </xf>
    <xf numFmtId="0" fontId="6" fillId="5" borderId="2" xfId="0" applyFont="1" applyFill="1" applyBorder="1" applyAlignment="1">
      <alignment horizontal="justify" vertical="center" wrapText="1"/>
    </xf>
    <xf numFmtId="0" fontId="7" fillId="3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</xdr:row>
          <xdr:rowOff>171450</xdr:rowOff>
        </xdr:from>
        <xdr:to>
          <xdr:col>4</xdr:col>
          <xdr:colOff>247650</xdr:colOff>
          <xdr:row>7</xdr:row>
          <xdr:rowOff>95250</xdr:rowOff>
        </xdr:to>
        <xdr:sp macro="" textlink="">
          <xdr:nvSpPr>
            <xdr:cNvPr id="6145" name="ShowMenu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mia.wilson@cascadeemail.com" TargetMode="External"/><Relationship Id="rId13" Type="http://schemas.openxmlformats.org/officeDocument/2006/relationships/hyperlink" Target="mailto:amelia.jackson@solarismail.xyz" TargetMode="External"/><Relationship Id="rId18" Type="http://schemas.openxmlformats.org/officeDocument/2006/relationships/hyperlink" Target="mailto:elizabeth.garcia@quasarmail.net" TargetMode="External"/><Relationship Id="rId3" Type="http://schemas.openxmlformats.org/officeDocument/2006/relationships/hyperlink" Target="mailto:olivia.williams@oceanwave.org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sophia.miller@orbitalmail.net" TargetMode="External"/><Relationship Id="rId12" Type="http://schemas.openxmlformats.org/officeDocument/2006/relationships/hyperlink" Target="mailto:oliver.thomas@lunarmail.net" TargetMode="External"/><Relationship Id="rId17" Type="http://schemas.openxmlformats.org/officeDocument/2006/relationships/hyperlink" Target="mailto:emily.thompson@novaemail.co" TargetMode="External"/><Relationship Id="rId2" Type="http://schemas.openxmlformats.org/officeDocument/2006/relationships/hyperlink" Target="mailto:liam.johnson@skylineemail.com" TargetMode="External"/><Relationship Id="rId16" Type="http://schemas.openxmlformats.org/officeDocument/2006/relationships/hyperlink" Target="mailto:abigail.martin@nebulaemail.com" TargetMode="External"/><Relationship Id="rId20" Type="http://schemas.openxmlformats.org/officeDocument/2006/relationships/hyperlink" Target="mailto:william.robinson@asterismail.co" TargetMode="External"/><Relationship Id="rId1" Type="http://schemas.openxmlformats.org/officeDocument/2006/relationships/hyperlink" Target="mailto:emma.smith@sparkmail.net" TargetMode="External"/><Relationship Id="rId6" Type="http://schemas.openxmlformats.org/officeDocument/2006/relationships/hyperlink" Target="mailto:isabella.davis@peakmail.org" TargetMode="External"/><Relationship Id="rId11" Type="http://schemas.openxmlformats.org/officeDocument/2006/relationships/hyperlink" Target="mailto:lucas.anderson@stellarwave.org" TargetMode="External"/><Relationship Id="rId5" Type="http://schemas.openxmlformats.org/officeDocument/2006/relationships/hyperlink" Target="mailto:ava.brown@zenithmail.co" TargetMode="External"/><Relationship Id="rId15" Type="http://schemas.openxmlformats.org/officeDocument/2006/relationships/hyperlink" Target="mailto:evelyn.harris@cosmicmail.org" TargetMode="External"/><Relationship Id="rId10" Type="http://schemas.openxmlformats.org/officeDocument/2006/relationships/hyperlink" Target="mailto:aiden.taylor@auroramail.co" TargetMode="External"/><Relationship Id="rId19" Type="http://schemas.openxmlformats.org/officeDocument/2006/relationships/hyperlink" Target="mailto:michael.martinez@cometmail.xyz" TargetMode="External"/><Relationship Id="rId4" Type="http://schemas.openxmlformats.org/officeDocument/2006/relationships/hyperlink" Target="mailto:noah.jones@crimsonmail.xyz" TargetMode="External"/><Relationship Id="rId9" Type="http://schemas.openxmlformats.org/officeDocument/2006/relationships/hyperlink" Target="mailto:jackson.moore@horizonmail.xyz" TargetMode="External"/><Relationship Id="rId14" Type="http://schemas.openxmlformats.org/officeDocument/2006/relationships/hyperlink" Target="mailto:harper.white@equinoxmail.co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D85B4-7A5D-4789-B8E9-DAB384BDDC86}">
  <sheetPr codeName="Sheet3"/>
  <dimension ref="A1:C11"/>
  <sheetViews>
    <sheetView zoomScale="71" workbookViewId="0">
      <selection activeCell="F6" sqref="F6"/>
    </sheetView>
  </sheetViews>
  <sheetFormatPr defaultRowHeight="14.5"/>
  <cols>
    <col min="1" max="1" width="43" customWidth="1"/>
    <col min="2" max="2" width="42.1796875" customWidth="1"/>
    <col min="3" max="3" width="17.453125" customWidth="1"/>
  </cols>
  <sheetData>
    <row r="1" spans="1:3" ht="68">
      <c r="A1" s="23" t="s">
        <v>0</v>
      </c>
      <c r="B1" s="23"/>
      <c r="C1" s="23"/>
    </row>
    <row r="2" spans="1:3" ht="6" customHeight="1">
      <c r="A2" s="25"/>
      <c r="B2" s="25"/>
      <c r="C2" s="25"/>
    </row>
    <row r="3" spans="1:3" ht="23.5">
      <c r="A3" s="24" t="s">
        <v>1</v>
      </c>
      <c r="B3" s="24"/>
      <c r="C3" s="24"/>
    </row>
    <row r="4" spans="1:3" ht="23.5">
      <c r="A4" s="13" t="s">
        <v>2</v>
      </c>
      <c r="B4" s="18" t="s">
        <v>3</v>
      </c>
      <c r="C4" s="18"/>
    </row>
    <row r="5" spans="1:3" ht="23.5">
      <c r="A5" s="20" t="s">
        <v>4</v>
      </c>
      <c r="B5" s="14" t="s">
        <v>5</v>
      </c>
      <c r="C5" s="15">
        <v>32794193</v>
      </c>
    </row>
    <row r="6" spans="1:3" ht="23.5">
      <c r="A6" s="21"/>
      <c r="B6" s="14" t="s">
        <v>6</v>
      </c>
      <c r="C6" s="15">
        <v>33085625</v>
      </c>
    </row>
    <row r="7" spans="1:3" ht="23.5">
      <c r="A7" s="21"/>
      <c r="B7" s="14" t="s">
        <v>7</v>
      </c>
      <c r="C7" s="15">
        <v>33375585</v>
      </c>
    </row>
    <row r="8" spans="1:3" ht="23.5">
      <c r="A8" s="22"/>
      <c r="B8" s="14" t="s">
        <v>8</v>
      </c>
      <c r="C8" s="15">
        <v>33045240</v>
      </c>
    </row>
    <row r="9" spans="1:3" ht="23.5">
      <c r="A9" s="13" t="s">
        <v>9</v>
      </c>
      <c r="B9" s="17">
        <v>45191</v>
      </c>
      <c r="C9" s="17"/>
    </row>
    <row r="10" spans="1:3" ht="23.5">
      <c r="A10" s="13" t="s">
        <v>10</v>
      </c>
      <c r="B10" s="18" t="s">
        <v>11</v>
      </c>
      <c r="C10" s="18"/>
    </row>
    <row r="11" spans="1:3" ht="83.15" customHeight="1">
      <c r="A11" s="16" t="s">
        <v>12</v>
      </c>
      <c r="B11" s="19" t="s">
        <v>13</v>
      </c>
      <c r="C11" s="19"/>
    </row>
  </sheetData>
  <mergeCells count="8">
    <mergeCell ref="B9:C9"/>
    <mergeCell ref="B10:C10"/>
    <mergeCell ref="B11:C11"/>
    <mergeCell ref="A5:A8"/>
    <mergeCell ref="A1:C1"/>
    <mergeCell ref="A3:C3"/>
    <mergeCell ref="B4:C4"/>
    <mergeCell ref="A2: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37EE7-3B8B-4E66-A6E6-B0B94BE58FCF}">
  <sheetPr codeName="Sheet6"/>
  <dimension ref="C11:D15"/>
  <sheetViews>
    <sheetView workbookViewId="0">
      <selection activeCell="C8" sqref="C8"/>
    </sheetView>
  </sheetViews>
  <sheetFormatPr defaultRowHeight="14.5"/>
  <cols>
    <col min="3" max="3" width="19.1796875" customWidth="1"/>
  </cols>
  <sheetData>
    <row r="11" spans="3:4">
      <c r="C11" t="s">
        <v>14</v>
      </c>
    </row>
    <row r="12" spans="3:4">
      <c r="C12" t="s">
        <v>15</v>
      </c>
      <c r="D12" t="s">
        <v>16</v>
      </c>
    </row>
    <row r="13" spans="3:4">
      <c r="C13" t="s">
        <v>17</v>
      </c>
      <c r="D13" t="s">
        <v>18</v>
      </c>
    </row>
    <row r="14" spans="3:4">
      <c r="C14" t="s">
        <v>19</v>
      </c>
      <c r="D14" t="s">
        <v>20</v>
      </c>
    </row>
    <row r="15" spans="3:4">
      <c r="C15" t="s">
        <v>21</v>
      </c>
      <c r="D15" t="s">
        <v>22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ShowMenu">
          <controlPr defaultSize="0" autoLine="0" autoPict="0" r:id="rId4">
            <anchor moveWithCells="1">
              <from>
                <xdr:col>1</xdr:col>
                <xdr:colOff>400050</xdr:colOff>
                <xdr:row>3</xdr:row>
                <xdr:rowOff>171450</xdr:rowOff>
              </from>
              <to>
                <xdr:col>4</xdr:col>
                <xdr:colOff>247650</xdr:colOff>
                <xdr:row>7</xdr:row>
                <xdr:rowOff>95250</xdr:rowOff>
              </to>
            </anchor>
          </controlPr>
        </control>
      </mc:Choice>
      <mc:Fallback>
        <control shapeId="6145" r:id="rId3" name="Show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1"/>
  <sheetViews>
    <sheetView topLeftCell="A12" workbookViewId="0">
      <selection activeCell="A22" sqref="A22"/>
    </sheetView>
  </sheetViews>
  <sheetFormatPr defaultRowHeight="14.5"/>
  <cols>
    <col min="1" max="1" width="11.54296875" bestFit="1" customWidth="1"/>
    <col min="2" max="2" width="9.81640625" bestFit="1" customWidth="1"/>
    <col min="3" max="3" width="12.453125" bestFit="1" customWidth="1"/>
    <col min="4" max="4" width="29.453125" bestFit="1" customWidth="1"/>
    <col min="5" max="5" width="17.54296875" bestFit="1" customWidth="1"/>
    <col min="6" max="6" width="6" bestFit="1" customWidth="1"/>
    <col min="7" max="7" width="8.81640625" style="1"/>
    <col min="8" max="8" width="12.81640625" bestFit="1" customWidth="1"/>
    <col min="9" max="9" width="37.453125" bestFit="1" customWidth="1"/>
  </cols>
  <sheetData>
    <row r="1" spans="1:9">
      <c r="A1" s="6" t="s">
        <v>23</v>
      </c>
      <c r="B1" s="6" t="s">
        <v>24</v>
      </c>
      <c r="C1" s="6" t="s">
        <v>25</v>
      </c>
      <c r="D1" s="6" t="s">
        <v>26</v>
      </c>
      <c r="E1" s="6" t="s">
        <v>27</v>
      </c>
      <c r="F1" s="6" t="s">
        <v>28</v>
      </c>
      <c r="G1" s="9" t="s">
        <v>29</v>
      </c>
      <c r="H1" s="6" t="s">
        <v>30</v>
      </c>
      <c r="I1" s="6" t="s">
        <v>31</v>
      </c>
    </row>
    <row r="2" spans="1:9">
      <c r="A2">
        <v>11201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>
        <v>2000</v>
      </c>
      <c r="H2" t="s">
        <v>37</v>
      </c>
      <c r="I2" s="10" t="s">
        <v>38</v>
      </c>
    </row>
    <row r="3" spans="1:9">
      <c r="A3">
        <v>11202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>
        <v>3000</v>
      </c>
      <c r="H3" t="s">
        <v>44</v>
      </c>
      <c r="I3" s="10" t="s">
        <v>45</v>
      </c>
    </row>
    <row r="4" spans="1:9">
      <c r="A4">
        <v>11203</v>
      </c>
      <c r="B4" t="s">
        <v>46</v>
      </c>
      <c r="C4" t="s">
        <v>47</v>
      </c>
      <c r="D4" t="s">
        <v>48</v>
      </c>
      <c r="E4" t="s">
        <v>49</v>
      </c>
      <c r="F4" t="s">
        <v>50</v>
      </c>
      <c r="G4">
        <v>4000</v>
      </c>
      <c r="H4" t="s">
        <v>51</v>
      </c>
      <c r="I4" s="10" t="s">
        <v>52</v>
      </c>
    </row>
    <row r="5" spans="1:9">
      <c r="A5">
        <v>11204</v>
      </c>
      <c r="B5" t="s">
        <v>53</v>
      </c>
      <c r="C5" t="s">
        <v>54</v>
      </c>
      <c r="D5" t="s">
        <v>55</v>
      </c>
      <c r="E5" t="s">
        <v>56</v>
      </c>
      <c r="F5" t="s">
        <v>57</v>
      </c>
      <c r="G5">
        <v>6000</v>
      </c>
      <c r="H5" t="s">
        <v>58</v>
      </c>
      <c r="I5" s="10" t="s">
        <v>59</v>
      </c>
    </row>
    <row r="6" spans="1:9">
      <c r="A6">
        <v>11205</v>
      </c>
      <c r="B6" t="s">
        <v>60</v>
      </c>
      <c r="C6" t="s">
        <v>61</v>
      </c>
      <c r="D6" t="s">
        <v>62</v>
      </c>
      <c r="E6" t="s">
        <v>63</v>
      </c>
      <c r="F6" t="s">
        <v>64</v>
      </c>
      <c r="G6">
        <v>5000</v>
      </c>
      <c r="H6" t="s">
        <v>65</v>
      </c>
      <c r="I6" s="10" t="s">
        <v>66</v>
      </c>
    </row>
    <row r="7" spans="1:9">
      <c r="A7">
        <v>11206</v>
      </c>
      <c r="B7" t="s">
        <v>67</v>
      </c>
      <c r="C7" t="s">
        <v>68</v>
      </c>
      <c r="D7" t="s">
        <v>69</v>
      </c>
      <c r="E7" t="s">
        <v>70</v>
      </c>
      <c r="F7" t="s">
        <v>50</v>
      </c>
      <c r="G7">
        <v>4217</v>
      </c>
      <c r="H7" t="s">
        <v>71</v>
      </c>
      <c r="I7" s="10" t="s">
        <v>72</v>
      </c>
    </row>
    <row r="8" spans="1:9">
      <c r="A8">
        <v>11207</v>
      </c>
      <c r="B8" t="s">
        <v>73</v>
      </c>
      <c r="C8" t="s">
        <v>74</v>
      </c>
      <c r="D8" t="s">
        <v>75</v>
      </c>
      <c r="E8" t="s">
        <v>76</v>
      </c>
      <c r="F8" t="s">
        <v>77</v>
      </c>
      <c r="G8">
        <v>2600</v>
      </c>
      <c r="H8" t="s">
        <v>78</v>
      </c>
      <c r="I8" s="10" t="s">
        <v>79</v>
      </c>
    </row>
    <row r="9" spans="1:9">
      <c r="A9">
        <v>11208</v>
      </c>
      <c r="B9" t="s">
        <v>80</v>
      </c>
      <c r="C9" t="s">
        <v>81</v>
      </c>
      <c r="D9" t="s">
        <v>82</v>
      </c>
      <c r="E9" t="s">
        <v>83</v>
      </c>
      <c r="F9" t="s">
        <v>36</v>
      </c>
      <c r="G9">
        <v>2300</v>
      </c>
      <c r="H9" t="s">
        <v>84</v>
      </c>
      <c r="I9" s="10" t="s">
        <v>85</v>
      </c>
    </row>
    <row r="10" spans="1:9">
      <c r="A10">
        <v>11209</v>
      </c>
      <c r="B10" t="s">
        <v>86</v>
      </c>
      <c r="C10" t="s">
        <v>87</v>
      </c>
      <c r="D10" t="s">
        <v>88</v>
      </c>
      <c r="E10" t="s">
        <v>89</v>
      </c>
      <c r="F10" t="s">
        <v>90</v>
      </c>
      <c r="G10">
        <v>7000</v>
      </c>
      <c r="H10" t="s">
        <v>91</v>
      </c>
      <c r="I10" s="10" t="s">
        <v>92</v>
      </c>
    </row>
    <row r="11" spans="1:9">
      <c r="A11">
        <v>11210</v>
      </c>
      <c r="B11" t="s">
        <v>93</v>
      </c>
      <c r="C11" t="s">
        <v>94</v>
      </c>
      <c r="D11" t="s">
        <v>95</v>
      </c>
      <c r="E11" t="s">
        <v>96</v>
      </c>
      <c r="F11" t="s">
        <v>97</v>
      </c>
      <c r="G11">
        <v>800</v>
      </c>
      <c r="H11" t="s">
        <v>98</v>
      </c>
      <c r="I11" s="10" t="s">
        <v>99</v>
      </c>
    </row>
    <row r="12" spans="1:9">
      <c r="A12">
        <v>11211</v>
      </c>
      <c r="B12" t="s">
        <v>100</v>
      </c>
      <c r="C12" t="s">
        <v>101</v>
      </c>
      <c r="D12" t="s">
        <v>102</v>
      </c>
      <c r="E12" t="s">
        <v>103</v>
      </c>
      <c r="F12" t="s">
        <v>50</v>
      </c>
      <c r="G12">
        <v>4870</v>
      </c>
      <c r="H12" t="s">
        <v>104</v>
      </c>
      <c r="I12" s="10" t="s">
        <v>105</v>
      </c>
    </row>
    <row r="13" spans="1:9">
      <c r="A13">
        <v>11212</v>
      </c>
      <c r="B13" t="s">
        <v>106</v>
      </c>
      <c r="C13" t="s">
        <v>107</v>
      </c>
      <c r="D13" t="s">
        <v>108</v>
      </c>
      <c r="E13" t="s">
        <v>109</v>
      </c>
      <c r="F13" t="s">
        <v>36</v>
      </c>
      <c r="G13">
        <v>2500</v>
      </c>
      <c r="H13" t="s">
        <v>110</v>
      </c>
      <c r="I13" s="10" t="s">
        <v>111</v>
      </c>
    </row>
    <row r="14" spans="1:9">
      <c r="A14">
        <v>11213</v>
      </c>
      <c r="B14" t="s">
        <v>87</v>
      </c>
      <c r="C14" t="s">
        <v>112</v>
      </c>
      <c r="D14" t="s">
        <v>113</v>
      </c>
      <c r="E14" t="s">
        <v>114</v>
      </c>
      <c r="F14" t="s">
        <v>43</v>
      </c>
      <c r="G14">
        <v>3220</v>
      </c>
      <c r="H14" t="s">
        <v>115</v>
      </c>
      <c r="I14" s="10" t="s">
        <v>116</v>
      </c>
    </row>
    <row r="15" spans="1:9">
      <c r="A15">
        <v>11214</v>
      </c>
      <c r="B15" t="s">
        <v>117</v>
      </c>
      <c r="C15" t="s">
        <v>118</v>
      </c>
      <c r="D15" t="s">
        <v>119</v>
      </c>
      <c r="E15" t="s">
        <v>120</v>
      </c>
      <c r="F15" t="s">
        <v>50</v>
      </c>
      <c r="G15">
        <v>4810</v>
      </c>
      <c r="H15" t="s">
        <v>121</v>
      </c>
      <c r="I15" s="10" t="s">
        <v>122</v>
      </c>
    </row>
    <row r="16" spans="1:9">
      <c r="A16">
        <v>11215</v>
      </c>
      <c r="B16" t="s">
        <v>123</v>
      </c>
      <c r="C16" t="s">
        <v>124</v>
      </c>
      <c r="D16" t="s">
        <v>125</v>
      </c>
      <c r="E16" t="s">
        <v>126</v>
      </c>
      <c r="F16" t="s">
        <v>50</v>
      </c>
      <c r="G16">
        <v>4350</v>
      </c>
      <c r="H16" t="s">
        <v>127</v>
      </c>
      <c r="I16" s="10" t="s">
        <v>128</v>
      </c>
    </row>
    <row r="17" spans="1:9">
      <c r="A17">
        <v>11216</v>
      </c>
      <c r="B17" t="s">
        <v>129</v>
      </c>
      <c r="C17" t="s">
        <v>130</v>
      </c>
      <c r="D17" t="s">
        <v>131</v>
      </c>
      <c r="E17" t="s">
        <v>132</v>
      </c>
      <c r="F17" t="s">
        <v>90</v>
      </c>
      <c r="G17">
        <v>7250</v>
      </c>
      <c r="H17" t="s">
        <v>133</v>
      </c>
      <c r="I17" s="10" t="s">
        <v>134</v>
      </c>
    </row>
    <row r="18" spans="1:9">
      <c r="A18">
        <v>11217</v>
      </c>
      <c r="B18" t="s">
        <v>135</v>
      </c>
      <c r="C18" t="s">
        <v>136</v>
      </c>
      <c r="D18" t="s">
        <v>137</v>
      </c>
      <c r="E18" t="s">
        <v>138</v>
      </c>
      <c r="F18" t="s">
        <v>43</v>
      </c>
      <c r="G18">
        <v>3350</v>
      </c>
      <c r="H18" t="s">
        <v>139</v>
      </c>
      <c r="I18" s="10" t="s">
        <v>140</v>
      </c>
    </row>
    <row r="19" spans="1:9">
      <c r="A19">
        <v>11218</v>
      </c>
      <c r="B19" t="s">
        <v>141</v>
      </c>
      <c r="C19" t="s">
        <v>142</v>
      </c>
      <c r="D19" t="s">
        <v>143</v>
      </c>
      <c r="E19" t="s">
        <v>144</v>
      </c>
      <c r="F19" t="s">
        <v>43</v>
      </c>
      <c r="G19">
        <v>3550</v>
      </c>
      <c r="H19" t="s">
        <v>145</v>
      </c>
      <c r="I19" s="10" t="s">
        <v>146</v>
      </c>
    </row>
    <row r="20" spans="1:9">
      <c r="A20">
        <v>11219</v>
      </c>
      <c r="B20" t="s">
        <v>147</v>
      </c>
      <c r="C20" t="s">
        <v>148</v>
      </c>
      <c r="D20" t="s">
        <v>149</v>
      </c>
      <c r="E20" t="s">
        <v>150</v>
      </c>
      <c r="F20" t="s">
        <v>50</v>
      </c>
      <c r="G20">
        <v>4740</v>
      </c>
      <c r="H20" t="s">
        <v>151</v>
      </c>
      <c r="I20" s="10" t="s">
        <v>152</v>
      </c>
    </row>
    <row r="21" spans="1:9">
      <c r="A21">
        <v>11220</v>
      </c>
      <c r="B21" t="s">
        <v>153</v>
      </c>
      <c r="C21" t="s">
        <v>154</v>
      </c>
      <c r="D21" t="s">
        <v>155</v>
      </c>
      <c r="E21" t="s">
        <v>156</v>
      </c>
      <c r="F21" t="s">
        <v>57</v>
      </c>
      <c r="G21">
        <v>6230</v>
      </c>
      <c r="H21" t="s">
        <v>157</v>
      </c>
      <c r="I21" s="10" t="s">
        <v>158</v>
      </c>
    </row>
  </sheetData>
  <phoneticPr fontId="1" type="noConversion"/>
  <hyperlinks>
    <hyperlink ref="I2" r:id="rId1" display="mailto:emma.smith@sparkmail.net" xr:uid="{A6E11ADE-C7E8-4951-B5B1-BE0292DB27C8}"/>
    <hyperlink ref="I3" r:id="rId2" display="mailto:liam.johnson@skylineemail.com" xr:uid="{27903692-3598-448D-A706-041F8F75AD3E}"/>
    <hyperlink ref="I4" r:id="rId3" display="mailto:olivia.williams@oceanwave.org" xr:uid="{C1F9A4BB-AE3D-4A1E-9DD2-9E36B8400B98}"/>
    <hyperlink ref="I5" r:id="rId4" display="mailto:noah.jones@crimsonmail.xyz" xr:uid="{18098780-F6DC-4973-A929-4C5C2AFEC92A}"/>
    <hyperlink ref="I6" r:id="rId5" display="mailto:ava.brown@zenithmail.co" xr:uid="{1604D7A6-C593-4826-9054-2A90FA5AA78E}"/>
    <hyperlink ref="I7" r:id="rId6" display="mailto:isabella.davis@peakmail.org" xr:uid="{BDA5D49B-A044-4714-976B-7EB20C0F4B39}"/>
    <hyperlink ref="I8" r:id="rId7" display="mailto:sophia.miller@orbitalmail.net" xr:uid="{099759AD-F873-4EF0-B513-DFD6E2063A0B}"/>
    <hyperlink ref="I9" r:id="rId8" display="mailto:mia.wilson@cascadeemail.com" xr:uid="{5A4132FE-8913-4BBB-8D2C-1BC45358B943}"/>
    <hyperlink ref="I10" r:id="rId9" display="mailto:jackson.moore@horizonmail.xyz" xr:uid="{503021DC-0BBB-4F07-B7FB-00A3096E8653}"/>
    <hyperlink ref="I11" r:id="rId10" display="mailto:aiden.taylor@auroramail.co" xr:uid="{457B1E9D-5882-4467-B76C-E37A54606FCA}"/>
    <hyperlink ref="I12" r:id="rId11" display="mailto:lucas.anderson@stellarwave.org" xr:uid="{A4E18CE0-147F-4DF4-BBC2-684DD08133B7}"/>
    <hyperlink ref="I13" r:id="rId12" display="mailto:oliver.thomas@lunarmail.net" xr:uid="{B2C660F7-E822-4EA0-8704-AFEE79EE5F44}"/>
    <hyperlink ref="I14" r:id="rId13" display="mailto:amelia.jackson@solarismail.xyz" xr:uid="{9CBFC721-9A8F-4C92-96D5-0DCDC4B83DD6}"/>
    <hyperlink ref="I15" r:id="rId14" display="mailto:harper.white@equinoxmail.co" xr:uid="{035514DE-435D-4604-B4E2-A3BD757E279A}"/>
    <hyperlink ref="I16" r:id="rId15" display="mailto:evelyn.harris@cosmicmail.org" xr:uid="{5031C165-3A47-4BE3-8710-A3DAE7D637E9}"/>
    <hyperlink ref="I17" r:id="rId16" display="mailto:abigail.martin@nebulaemail.com" xr:uid="{49A7D3B1-DA47-4A01-846B-10B01362FD20}"/>
    <hyperlink ref="I18" r:id="rId17" display="mailto:emily.thompson@novaemail.co" xr:uid="{59962DC7-7FA8-4FD2-9226-DCB34A8EFB7B}"/>
    <hyperlink ref="I19" r:id="rId18" display="mailto:elizabeth.garcia@quasarmail.net" xr:uid="{704B1CC8-D506-4CE2-8AAC-01CC611B2E13}"/>
    <hyperlink ref="I20" r:id="rId19" display="mailto:michael.martinez@cometmail.xyz" xr:uid="{2E3AB98E-B9C0-4450-A1FE-ABEAD5D94307}"/>
    <hyperlink ref="I21" r:id="rId20" display="mailto:william.robinson@asterismail.co" xr:uid="{74507988-75FC-493B-BA6E-9C8C4AFBB324}"/>
  </hyperlinks>
  <pageMargins left="0.7" right="0.7" top="0.75" bottom="0.75" header="0.3" footer="0.3"/>
  <pageSetup paperSize="9" orientation="portrait" horizontalDpi="0" verticalDpi="0" r:id="rId2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5FAEF-7D10-4AC0-A9A7-C659CC0BB421}">
  <sheetPr codeName="Sheet2"/>
  <dimension ref="A1:F67"/>
  <sheetViews>
    <sheetView topLeftCell="A48" workbookViewId="0">
      <selection activeCell="D66" sqref="D66:D67"/>
    </sheetView>
  </sheetViews>
  <sheetFormatPr defaultRowHeight="14.5"/>
  <cols>
    <col min="1" max="1" width="16.1796875" bestFit="1" customWidth="1"/>
    <col min="2" max="2" width="21.1796875" bestFit="1" customWidth="1"/>
    <col min="3" max="3" width="19.453125" bestFit="1" customWidth="1"/>
    <col min="4" max="4" width="9.1796875" bestFit="1" customWidth="1"/>
    <col min="5" max="5" width="21.1796875" bestFit="1" customWidth="1"/>
    <col min="6" max="6" width="17.81640625" bestFit="1" customWidth="1"/>
  </cols>
  <sheetData>
    <row r="1" spans="1:6">
      <c r="A1" s="6" t="s">
        <v>159</v>
      </c>
      <c r="B1" s="6" t="s">
        <v>160</v>
      </c>
      <c r="C1" s="6" t="s">
        <v>161</v>
      </c>
      <c r="D1" s="6" t="s">
        <v>162</v>
      </c>
      <c r="E1" s="6" t="s">
        <v>163</v>
      </c>
      <c r="F1" s="6" t="s">
        <v>164</v>
      </c>
    </row>
    <row r="2" spans="1:6">
      <c r="A2" t="s">
        <v>165</v>
      </c>
      <c r="B2" t="s">
        <v>166</v>
      </c>
      <c r="C2" t="s">
        <v>167</v>
      </c>
      <c r="D2">
        <v>2021</v>
      </c>
      <c r="E2" s="7">
        <v>618.75</v>
      </c>
      <c r="F2" s="7">
        <v>123750</v>
      </c>
    </row>
    <row r="3" spans="1:6">
      <c r="A3" t="s">
        <v>168</v>
      </c>
      <c r="B3" t="s">
        <v>166</v>
      </c>
      <c r="C3" t="s">
        <v>167</v>
      </c>
      <c r="D3">
        <v>2017</v>
      </c>
      <c r="E3" s="7">
        <v>450</v>
      </c>
      <c r="F3" s="7">
        <v>90000</v>
      </c>
    </row>
    <row r="4" spans="1:6">
      <c r="A4" t="s">
        <v>169</v>
      </c>
      <c r="B4" t="s">
        <v>166</v>
      </c>
      <c r="C4" t="s">
        <v>167</v>
      </c>
      <c r="D4">
        <v>2019</v>
      </c>
      <c r="E4" s="7">
        <v>528.75</v>
      </c>
      <c r="F4" s="7">
        <v>105750</v>
      </c>
    </row>
    <row r="5" spans="1:6">
      <c r="A5" t="s">
        <v>170</v>
      </c>
      <c r="B5" t="s">
        <v>166</v>
      </c>
      <c r="C5" t="s">
        <v>171</v>
      </c>
      <c r="D5">
        <v>2020</v>
      </c>
      <c r="E5" s="7">
        <v>562.5</v>
      </c>
      <c r="F5" s="7">
        <v>112500</v>
      </c>
    </row>
    <row r="6" spans="1:6">
      <c r="A6" t="s">
        <v>172</v>
      </c>
      <c r="B6" t="s">
        <v>166</v>
      </c>
      <c r="C6" t="s">
        <v>171</v>
      </c>
      <c r="D6">
        <v>2021</v>
      </c>
      <c r="E6" s="7">
        <v>585</v>
      </c>
      <c r="F6" s="7">
        <v>117000</v>
      </c>
    </row>
    <row r="7" spans="1:6">
      <c r="A7" t="s">
        <v>173</v>
      </c>
      <c r="B7" t="s">
        <v>174</v>
      </c>
      <c r="C7" t="s">
        <v>175</v>
      </c>
      <c r="D7">
        <v>2019</v>
      </c>
      <c r="E7" s="7">
        <v>528.75</v>
      </c>
      <c r="F7" s="7">
        <v>105750</v>
      </c>
    </row>
    <row r="8" spans="1:6">
      <c r="A8" t="s">
        <v>176</v>
      </c>
      <c r="B8" t="s">
        <v>174</v>
      </c>
      <c r="C8" t="s">
        <v>175</v>
      </c>
      <c r="D8">
        <v>2020</v>
      </c>
      <c r="E8" s="7">
        <v>562.5</v>
      </c>
      <c r="F8" s="7">
        <v>112500</v>
      </c>
    </row>
    <row r="9" spans="1:6">
      <c r="A9" t="s">
        <v>177</v>
      </c>
      <c r="B9" t="s">
        <v>174</v>
      </c>
      <c r="C9" t="s">
        <v>178</v>
      </c>
      <c r="D9">
        <v>2018</v>
      </c>
      <c r="E9" s="7">
        <v>506.25</v>
      </c>
      <c r="F9" s="7">
        <v>101250</v>
      </c>
    </row>
    <row r="10" spans="1:6">
      <c r="A10" t="s">
        <v>179</v>
      </c>
      <c r="B10" t="s">
        <v>174</v>
      </c>
      <c r="C10" t="s">
        <v>178</v>
      </c>
      <c r="D10">
        <v>2019</v>
      </c>
      <c r="E10" s="7">
        <v>540</v>
      </c>
      <c r="F10" s="7">
        <v>108000</v>
      </c>
    </row>
    <row r="11" spans="1:6">
      <c r="A11" t="s">
        <v>180</v>
      </c>
      <c r="B11" t="s">
        <v>174</v>
      </c>
      <c r="C11" t="s">
        <v>181</v>
      </c>
      <c r="D11">
        <v>2018</v>
      </c>
      <c r="E11" s="7">
        <v>506.25</v>
      </c>
      <c r="F11" s="7">
        <v>101250</v>
      </c>
    </row>
    <row r="12" spans="1:6">
      <c r="A12" t="s">
        <v>182</v>
      </c>
      <c r="B12" t="s">
        <v>174</v>
      </c>
      <c r="C12" t="s">
        <v>181</v>
      </c>
      <c r="D12">
        <v>2017</v>
      </c>
      <c r="E12" s="7">
        <v>472.5</v>
      </c>
      <c r="F12" s="7">
        <v>94500</v>
      </c>
    </row>
    <row r="13" spans="1:6">
      <c r="A13" t="s">
        <v>183</v>
      </c>
      <c r="B13" t="s">
        <v>174</v>
      </c>
      <c r="C13" t="s">
        <v>178</v>
      </c>
      <c r="D13">
        <v>2020</v>
      </c>
      <c r="E13" s="7">
        <v>562.5</v>
      </c>
      <c r="F13" s="7">
        <v>112500</v>
      </c>
    </row>
    <row r="14" spans="1:6">
      <c r="A14" t="s">
        <v>184</v>
      </c>
      <c r="B14" t="s">
        <v>174</v>
      </c>
      <c r="C14" t="s">
        <v>175</v>
      </c>
      <c r="D14">
        <v>2021</v>
      </c>
      <c r="E14" s="7">
        <v>585</v>
      </c>
      <c r="F14" s="7">
        <v>117000</v>
      </c>
    </row>
    <row r="15" spans="1:6">
      <c r="A15" t="s">
        <v>185</v>
      </c>
      <c r="B15" t="s">
        <v>174</v>
      </c>
      <c r="C15" t="s">
        <v>175</v>
      </c>
      <c r="D15">
        <v>2017</v>
      </c>
      <c r="E15" s="7">
        <v>450</v>
      </c>
      <c r="F15" s="7">
        <v>90000</v>
      </c>
    </row>
    <row r="16" spans="1:6">
      <c r="A16" t="s">
        <v>186</v>
      </c>
      <c r="B16" t="s">
        <v>187</v>
      </c>
      <c r="C16" t="s">
        <v>188</v>
      </c>
      <c r="D16">
        <v>2017</v>
      </c>
      <c r="E16" s="7">
        <v>675</v>
      </c>
      <c r="F16" s="7">
        <v>135000</v>
      </c>
    </row>
    <row r="17" spans="1:6">
      <c r="A17" t="s">
        <v>189</v>
      </c>
      <c r="B17" t="s">
        <v>187</v>
      </c>
      <c r="C17" t="s">
        <v>188</v>
      </c>
      <c r="D17">
        <v>2019</v>
      </c>
      <c r="E17" s="7">
        <v>793.125</v>
      </c>
      <c r="F17" s="7">
        <v>158625</v>
      </c>
    </row>
    <row r="18" spans="1:6">
      <c r="A18" t="s">
        <v>190</v>
      </c>
      <c r="B18" t="s">
        <v>187</v>
      </c>
      <c r="C18" t="s">
        <v>191</v>
      </c>
      <c r="D18">
        <v>2021</v>
      </c>
      <c r="E18" s="7">
        <v>928.125</v>
      </c>
      <c r="F18" s="7">
        <v>185625</v>
      </c>
    </row>
    <row r="19" spans="1:6">
      <c r="A19" t="s">
        <v>192</v>
      </c>
      <c r="B19" t="s">
        <v>187</v>
      </c>
      <c r="C19" t="s">
        <v>191</v>
      </c>
      <c r="D19">
        <v>2021</v>
      </c>
      <c r="E19" s="7">
        <v>877.5</v>
      </c>
      <c r="F19" s="7">
        <v>175500</v>
      </c>
    </row>
    <row r="20" spans="1:6">
      <c r="A20" t="s">
        <v>193</v>
      </c>
      <c r="B20" t="s">
        <v>187</v>
      </c>
      <c r="C20" t="s">
        <v>191</v>
      </c>
      <c r="D20">
        <v>2020</v>
      </c>
      <c r="E20" s="7">
        <v>843.75</v>
      </c>
      <c r="F20" s="7">
        <v>168750</v>
      </c>
    </row>
    <row r="21" spans="1:6">
      <c r="A21" t="s">
        <v>194</v>
      </c>
      <c r="B21" t="s">
        <v>187</v>
      </c>
      <c r="C21" t="s">
        <v>195</v>
      </c>
      <c r="D21">
        <v>2020</v>
      </c>
      <c r="E21" s="7">
        <v>843.75</v>
      </c>
      <c r="F21" s="7">
        <v>168750</v>
      </c>
    </row>
    <row r="22" spans="1:6">
      <c r="A22" t="s">
        <v>196</v>
      </c>
      <c r="B22" t="s">
        <v>187</v>
      </c>
      <c r="C22" t="s">
        <v>197</v>
      </c>
      <c r="D22">
        <v>2021</v>
      </c>
      <c r="E22" s="7">
        <v>877.5</v>
      </c>
      <c r="F22" s="7">
        <v>175500</v>
      </c>
    </row>
    <row r="23" spans="1:6">
      <c r="A23" t="s">
        <v>198</v>
      </c>
      <c r="B23" t="s">
        <v>187</v>
      </c>
      <c r="C23" t="s">
        <v>197</v>
      </c>
      <c r="D23">
        <v>2018</v>
      </c>
      <c r="E23" s="7">
        <v>776.25</v>
      </c>
      <c r="F23" s="7">
        <v>155250</v>
      </c>
    </row>
    <row r="24" spans="1:6">
      <c r="A24" t="s">
        <v>199</v>
      </c>
      <c r="B24" t="s">
        <v>187</v>
      </c>
      <c r="C24" t="s">
        <v>197</v>
      </c>
      <c r="D24">
        <v>2019</v>
      </c>
      <c r="E24" s="7">
        <v>793.125</v>
      </c>
      <c r="F24" s="7">
        <v>158625</v>
      </c>
    </row>
    <row r="25" spans="1:6">
      <c r="A25" t="s">
        <v>200</v>
      </c>
      <c r="B25" t="s">
        <v>201</v>
      </c>
      <c r="C25" t="s">
        <v>202</v>
      </c>
      <c r="D25">
        <v>2019</v>
      </c>
      <c r="E25" s="7">
        <v>528.75</v>
      </c>
      <c r="F25" s="7">
        <v>105750</v>
      </c>
    </row>
    <row r="26" spans="1:6">
      <c r="A26" t="s">
        <v>203</v>
      </c>
      <c r="B26" t="s">
        <v>201</v>
      </c>
      <c r="C26" t="s">
        <v>202</v>
      </c>
      <c r="D26">
        <v>2020</v>
      </c>
      <c r="E26" s="7">
        <v>562.5</v>
      </c>
      <c r="F26" s="7">
        <v>112500</v>
      </c>
    </row>
    <row r="27" spans="1:6">
      <c r="A27" t="s">
        <v>204</v>
      </c>
      <c r="B27" t="s">
        <v>201</v>
      </c>
      <c r="C27" t="s">
        <v>202</v>
      </c>
      <c r="D27">
        <v>2021</v>
      </c>
      <c r="E27" s="7">
        <v>585</v>
      </c>
      <c r="F27" s="7">
        <v>117000</v>
      </c>
    </row>
    <row r="28" spans="1:6">
      <c r="A28" t="s">
        <v>205</v>
      </c>
      <c r="B28" t="s">
        <v>201</v>
      </c>
      <c r="C28" t="s">
        <v>202</v>
      </c>
      <c r="D28">
        <v>2021</v>
      </c>
      <c r="E28" s="7">
        <v>618.75</v>
      </c>
      <c r="F28" s="7">
        <v>123750</v>
      </c>
    </row>
    <row r="29" spans="1:6">
      <c r="A29" t="s">
        <v>206</v>
      </c>
      <c r="B29" t="s">
        <v>201</v>
      </c>
      <c r="C29" t="s">
        <v>207</v>
      </c>
      <c r="D29">
        <v>2018</v>
      </c>
      <c r="E29" s="7">
        <v>517.5</v>
      </c>
      <c r="F29" s="7">
        <v>103500</v>
      </c>
    </row>
    <row r="30" spans="1:6">
      <c r="A30" t="s">
        <v>208</v>
      </c>
      <c r="B30" t="s">
        <v>201</v>
      </c>
      <c r="C30" t="s">
        <v>209</v>
      </c>
      <c r="D30">
        <v>2017</v>
      </c>
      <c r="E30" s="7">
        <v>472.5</v>
      </c>
      <c r="F30" s="7">
        <v>94500</v>
      </c>
    </row>
    <row r="31" spans="1:6">
      <c r="A31" t="s">
        <v>210</v>
      </c>
      <c r="B31" t="s">
        <v>201</v>
      </c>
      <c r="C31" t="s">
        <v>209</v>
      </c>
      <c r="D31">
        <v>2019</v>
      </c>
      <c r="E31" s="7">
        <v>528.75</v>
      </c>
      <c r="F31" s="7">
        <v>105750</v>
      </c>
    </row>
    <row r="32" spans="1:6">
      <c r="A32" t="s">
        <v>211</v>
      </c>
      <c r="B32" t="s">
        <v>201</v>
      </c>
      <c r="C32" t="s">
        <v>209</v>
      </c>
      <c r="D32">
        <v>2017</v>
      </c>
      <c r="E32" s="7">
        <v>450</v>
      </c>
      <c r="F32" s="7">
        <v>90000</v>
      </c>
    </row>
    <row r="33" spans="1:6">
      <c r="A33" t="s">
        <v>212</v>
      </c>
      <c r="B33" t="s">
        <v>201</v>
      </c>
      <c r="C33" t="s">
        <v>209</v>
      </c>
      <c r="D33">
        <v>2020</v>
      </c>
      <c r="E33" s="7">
        <v>562.5</v>
      </c>
      <c r="F33" s="7">
        <v>112500</v>
      </c>
    </row>
    <row r="34" spans="1:6">
      <c r="A34" t="s">
        <v>213</v>
      </c>
      <c r="B34" t="s">
        <v>201</v>
      </c>
      <c r="C34" t="s">
        <v>214</v>
      </c>
      <c r="D34">
        <v>2018</v>
      </c>
      <c r="E34" s="7">
        <v>517.5</v>
      </c>
      <c r="F34" s="7">
        <v>103500</v>
      </c>
    </row>
    <row r="35" spans="1:6">
      <c r="A35" t="s">
        <v>215</v>
      </c>
      <c r="B35" t="s">
        <v>216</v>
      </c>
      <c r="C35" t="s">
        <v>217</v>
      </c>
      <c r="D35">
        <v>2020</v>
      </c>
      <c r="E35" s="7">
        <v>562.5</v>
      </c>
      <c r="F35" s="7">
        <v>112500</v>
      </c>
    </row>
    <row r="36" spans="1:6">
      <c r="A36" t="s">
        <v>218</v>
      </c>
      <c r="B36" t="s">
        <v>216</v>
      </c>
      <c r="C36" t="s">
        <v>217</v>
      </c>
      <c r="D36">
        <v>2019</v>
      </c>
      <c r="E36" s="7">
        <v>528.75</v>
      </c>
      <c r="F36" s="7">
        <v>105750</v>
      </c>
    </row>
    <row r="37" spans="1:6">
      <c r="A37" t="s">
        <v>219</v>
      </c>
      <c r="B37" t="s">
        <v>216</v>
      </c>
      <c r="C37" t="s">
        <v>217</v>
      </c>
      <c r="D37">
        <v>2021</v>
      </c>
      <c r="E37" s="7">
        <v>585</v>
      </c>
      <c r="F37" s="7">
        <v>117000</v>
      </c>
    </row>
    <row r="38" spans="1:6">
      <c r="A38" t="s">
        <v>220</v>
      </c>
      <c r="B38" t="s">
        <v>216</v>
      </c>
      <c r="C38" t="s">
        <v>217</v>
      </c>
      <c r="D38">
        <v>2017</v>
      </c>
      <c r="E38" s="7">
        <v>472.5</v>
      </c>
      <c r="F38" s="7">
        <v>94500</v>
      </c>
    </row>
    <row r="39" spans="1:6">
      <c r="A39" t="s">
        <v>221</v>
      </c>
      <c r="B39" t="s">
        <v>216</v>
      </c>
      <c r="C39" t="s">
        <v>217</v>
      </c>
      <c r="D39">
        <v>2018</v>
      </c>
      <c r="E39" s="7">
        <v>517.5</v>
      </c>
      <c r="F39" s="7">
        <v>103500</v>
      </c>
    </row>
    <row r="40" spans="1:6">
      <c r="A40" t="s">
        <v>222</v>
      </c>
      <c r="B40" t="s">
        <v>223</v>
      </c>
      <c r="C40" t="s">
        <v>224</v>
      </c>
      <c r="D40">
        <v>2017</v>
      </c>
      <c r="E40" s="7">
        <v>708.75</v>
      </c>
      <c r="F40" s="7">
        <v>141750</v>
      </c>
    </row>
    <row r="41" spans="1:6">
      <c r="A41" t="s">
        <v>225</v>
      </c>
      <c r="B41" t="s">
        <v>223</v>
      </c>
      <c r="C41" t="s">
        <v>224</v>
      </c>
      <c r="D41">
        <v>2020</v>
      </c>
      <c r="E41" s="7">
        <v>843.75</v>
      </c>
      <c r="F41" s="7">
        <v>168750</v>
      </c>
    </row>
    <row r="42" spans="1:6">
      <c r="A42" t="s">
        <v>226</v>
      </c>
      <c r="B42" t="s">
        <v>223</v>
      </c>
      <c r="C42" t="s">
        <v>227</v>
      </c>
      <c r="D42">
        <v>2019</v>
      </c>
      <c r="E42" s="7">
        <v>793.125</v>
      </c>
      <c r="F42" s="7">
        <v>158625</v>
      </c>
    </row>
    <row r="43" spans="1:6">
      <c r="A43" t="s">
        <v>228</v>
      </c>
      <c r="B43" t="s">
        <v>223</v>
      </c>
      <c r="C43" t="s">
        <v>227</v>
      </c>
      <c r="D43">
        <v>2021</v>
      </c>
      <c r="E43" s="7">
        <v>877.5</v>
      </c>
      <c r="F43" s="7">
        <v>175500</v>
      </c>
    </row>
    <row r="44" spans="1:6">
      <c r="A44" t="s">
        <v>229</v>
      </c>
      <c r="B44" t="s">
        <v>223</v>
      </c>
      <c r="C44" t="s">
        <v>227</v>
      </c>
      <c r="D44">
        <v>2018</v>
      </c>
      <c r="E44" s="7">
        <v>776.25</v>
      </c>
      <c r="F44" s="7">
        <v>155250</v>
      </c>
    </row>
    <row r="45" spans="1:6">
      <c r="A45" t="s">
        <v>230</v>
      </c>
      <c r="B45" t="s">
        <v>231</v>
      </c>
      <c r="C45" t="s">
        <v>232</v>
      </c>
      <c r="D45">
        <v>2017</v>
      </c>
      <c r="E45" s="7">
        <v>450</v>
      </c>
      <c r="F45" s="7">
        <v>90000</v>
      </c>
    </row>
    <row r="46" spans="1:6">
      <c r="A46" t="s">
        <v>233</v>
      </c>
      <c r="B46" t="s">
        <v>234</v>
      </c>
      <c r="C46" t="s">
        <v>235</v>
      </c>
      <c r="D46">
        <v>2021</v>
      </c>
      <c r="E46" s="7">
        <v>585</v>
      </c>
      <c r="F46" s="7">
        <v>117000</v>
      </c>
    </row>
    <row r="47" spans="1:6">
      <c r="A47" t="s">
        <v>236</v>
      </c>
      <c r="B47" t="s">
        <v>234</v>
      </c>
      <c r="C47" t="s">
        <v>237</v>
      </c>
      <c r="D47">
        <v>2019</v>
      </c>
      <c r="E47" s="7">
        <v>528.75</v>
      </c>
      <c r="F47" s="7">
        <v>105750</v>
      </c>
    </row>
    <row r="48" spans="1:6">
      <c r="A48" t="s">
        <v>238</v>
      </c>
      <c r="B48" t="s">
        <v>234</v>
      </c>
      <c r="C48" t="s">
        <v>239</v>
      </c>
      <c r="D48">
        <v>2020</v>
      </c>
      <c r="E48" s="7">
        <v>562.5</v>
      </c>
      <c r="F48" s="7">
        <v>112500</v>
      </c>
    </row>
    <row r="49" spans="1:6">
      <c r="A49" t="s">
        <v>240</v>
      </c>
      <c r="B49" t="s">
        <v>234</v>
      </c>
      <c r="C49" t="s">
        <v>237</v>
      </c>
      <c r="D49">
        <v>2018</v>
      </c>
      <c r="E49" s="7">
        <v>517.5</v>
      </c>
      <c r="F49" s="7">
        <v>103500</v>
      </c>
    </row>
    <row r="50" spans="1:6">
      <c r="A50" t="s">
        <v>241</v>
      </c>
      <c r="B50" t="s">
        <v>234</v>
      </c>
      <c r="C50" t="s">
        <v>237</v>
      </c>
      <c r="D50">
        <v>2017</v>
      </c>
      <c r="E50" s="7">
        <v>461.25</v>
      </c>
      <c r="F50" s="7">
        <v>92250</v>
      </c>
    </row>
    <row r="51" spans="1:6">
      <c r="A51" t="s">
        <v>242</v>
      </c>
      <c r="B51" t="s">
        <v>234</v>
      </c>
      <c r="C51" t="s">
        <v>237</v>
      </c>
      <c r="D51">
        <v>2017</v>
      </c>
      <c r="E51" s="7">
        <v>450</v>
      </c>
      <c r="F51" s="7">
        <v>90000</v>
      </c>
    </row>
    <row r="52" spans="1:6">
      <c r="A52" t="s">
        <v>243</v>
      </c>
      <c r="B52" t="s">
        <v>234</v>
      </c>
      <c r="C52" t="s">
        <v>244</v>
      </c>
      <c r="D52">
        <v>2021</v>
      </c>
      <c r="E52" s="7">
        <v>618.75</v>
      </c>
      <c r="F52" s="7">
        <v>123750</v>
      </c>
    </row>
    <row r="53" spans="1:6">
      <c r="A53" t="s">
        <v>245</v>
      </c>
      <c r="B53" t="s">
        <v>246</v>
      </c>
      <c r="C53" s="8">
        <v>911</v>
      </c>
      <c r="D53">
        <v>2019</v>
      </c>
      <c r="E53" s="7">
        <v>793.125</v>
      </c>
      <c r="F53" s="7">
        <v>158625</v>
      </c>
    </row>
    <row r="54" spans="1:6">
      <c r="A54" t="s">
        <v>247</v>
      </c>
      <c r="B54" t="s">
        <v>246</v>
      </c>
      <c r="C54" s="8">
        <v>911</v>
      </c>
      <c r="D54">
        <v>2021</v>
      </c>
      <c r="E54" s="7">
        <v>877.5</v>
      </c>
      <c r="F54" s="7">
        <v>175500</v>
      </c>
    </row>
    <row r="55" spans="1:6">
      <c r="A55" t="s">
        <v>248</v>
      </c>
      <c r="B55" t="s">
        <v>246</v>
      </c>
      <c r="C55" t="s">
        <v>249</v>
      </c>
      <c r="D55">
        <v>2021</v>
      </c>
      <c r="E55" s="7">
        <v>877.5</v>
      </c>
      <c r="F55" s="7">
        <v>175500</v>
      </c>
    </row>
    <row r="56" spans="1:6">
      <c r="A56" t="s">
        <v>250</v>
      </c>
      <c r="B56" t="s">
        <v>246</v>
      </c>
      <c r="C56" t="s">
        <v>251</v>
      </c>
      <c r="D56">
        <v>2020</v>
      </c>
      <c r="E56" s="7">
        <v>843.75</v>
      </c>
      <c r="F56" s="7">
        <v>168750</v>
      </c>
    </row>
    <row r="57" spans="1:6">
      <c r="A57" t="s">
        <v>252</v>
      </c>
      <c r="B57" t="s">
        <v>246</v>
      </c>
      <c r="C57" t="s">
        <v>253</v>
      </c>
      <c r="D57">
        <v>2019</v>
      </c>
      <c r="E57" s="7">
        <v>793.125</v>
      </c>
      <c r="F57" s="7">
        <v>158625</v>
      </c>
    </row>
    <row r="58" spans="1:6">
      <c r="A58" t="s">
        <v>254</v>
      </c>
      <c r="B58" t="s">
        <v>246</v>
      </c>
      <c r="C58" t="s">
        <v>255</v>
      </c>
      <c r="D58">
        <v>2017</v>
      </c>
      <c r="E58" s="7">
        <v>708.75</v>
      </c>
      <c r="F58" s="7">
        <v>141750</v>
      </c>
    </row>
    <row r="59" spans="1:6">
      <c r="A59" t="s">
        <v>256</v>
      </c>
      <c r="B59" t="s">
        <v>246</v>
      </c>
      <c r="C59" t="s">
        <v>255</v>
      </c>
      <c r="D59">
        <v>2018</v>
      </c>
      <c r="E59" s="7">
        <v>776.25</v>
      </c>
      <c r="F59" s="7">
        <v>155250</v>
      </c>
    </row>
    <row r="60" spans="1:6">
      <c r="A60" t="s">
        <v>257</v>
      </c>
      <c r="B60" t="s">
        <v>246</v>
      </c>
      <c r="C60" t="s">
        <v>258</v>
      </c>
      <c r="D60">
        <v>2018</v>
      </c>
      <c r="E60" s="7">
        <v>776.25</v>
      </c>
      <c r="F60" s="7">
        <v>155250</v>
      </c>
    </row>
    <row r="61" spans="1:6">
      <c r="A61" t="s">
        <v>259</v>
      </c>
      <c r="B61" t="s">
        <v>246</v>
      </c>
      <c r="C61" t="s">
        <v>258</v>
      </c>
      <c r="D61">
        <v>2020</v>
      </c>
      <c r="E61" s="7">
        <v>843.75</v>
      </c>
      <c r="F61" s="7">
        <v>168750</v>
      </c>
    </row>
    <row r="62" spans="1:6">
      <c r="A62" t="s">
        <v>260</v>
      </c>
      <c r="B62" t="s">
        <v>246</v>
      </c>
      <c r="C62" t="s">
        <v>258</v>
      </c>
      <c r="D62">
        <v>2017</v>
      </c>
      <c r="E62" s="7">
        <v>675</v>
      </c>
      <c r="F62" s="7">
        <v>135000</v>
      </c>
    </row>
    <row r="63" spans="1:6">
      <c r="A63" t="s">
        <v>261</v>
      </c>
      <c r="B63" t="s">
        <v>262</v>
      </c>
      <c r="C63" t="s">
        <v>263</v>
      </c>
      <c r="D63">
        <v>2017</v>
      </c>
      <c r="E63" s="7">
        <v>675</v>
      </c>
      <c r="F63" s="7">
        <v>135000</v>
      </c>
    </row>
    <row r="64" spans="1:6">
      <c r="A64" t="s">
        <v>264</v>
      </c>
      <c r="B64" t="s">
        <v>262</v>
      </c>
      <c r="C64" t="s">
        <v>263</v>
      </c>
      <c r="D64">
        <v>2020</v>
      </c>
      <c r="E64" s="7">
        <v>843.75</v>
      </c>
      <c r="F64" s="7">
        <v>168750</v>
      </c>
    </row>
    <row r="65" spans="1:6">
      <c r="A65" t="s">
        <v>265</v>
      </c>
      <c r="B65" t="s">
        <v>262</v>
      </c>
      <c r="C65" t="s">
        <v>266</v>
      </c>
      <c r="D65">
        <v>2021</v>
      </c>
      <c r="E65" s="7">
        <v>877.5</v>
      </c>
      <c r="F65" s="7">
        <v>175500</v>
      </c>
    </row>
    <row r="66" spans="1:6">
      <c r="A66" t="s">
        <v>267</v>
      </c>
      <c r="B66" t="s">
        <v>262</v>
      </c>
      <c r="C66" t="s">
        <v>268</v>
      </c>
      <c r="D66">
        <v>2021</v>
      </c>
      <c r="E66" s="7">
        <v>928.125</v>
      </c>
      <c r="F66" s="7">
        <v>185625</v>
      </c>
    </row>
    <row r="67" spans="1:6">
      <c r="A67" t="s">
        <v>269</v>
      </c>
      <c r="B67" t="s">
        <v>262</v>
      </c>
      <c r="C67" t="s">
        <v>268</v>
      </c>
      <c r="D67">
        <v>2019</v>
      </c>
      <c r="E67" s="7">
        <v>793.125</v>
      </c>
      <c r="F67" s="7">
        <v>158625</v>
      </c>
    </row>
  </sheetData>
  <sortState xmlns:xlrd2="http://schemas.microsoft.com/office/spreadsheetml/2017/richdata2" ref="A2:E21">
    <sortCondition ref="B2:B2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DE938-17B5-4C25-BB12-9023233A7C23}">
  <sheetPr codeName="Sheet5"/>
  <dimension ref="A1:C6"/>
  <sheetViews>
    <sheetView tabSelected="1" workbookViewId="0">
      <selection activeCell="B7" sqref="B7"/>
    </sheetView>
  </sheetViews>
  <sheetFormatPr defaultRowHeight="14.5"/>
  <cols>
    <col min="2" max="2" width="22.453125" bestFit="1" customWidth="1"/>
  </cols>
  <sheetData>
    <row r="1" spans="1:3">
      <c r="A1" s="6" t="s">
        <v>270</v>
      </c>
      <c r="B1" s="6" t="s">
        <v>271</v>
      </c>
      <c r="C1" s="6" t="s">
        <v>272</v>
      </c>
    </row>
    <row r="2" spans="1:3">
      <c r="A2">
        <v>101</v>
      </c>
      <c r="B2" t="s">
        <v>273</v>
      </c>
      <c r="C2">
        <v>5</v>
      </c>
    </row>
    <row r="3" spans="1:3">
      <c r="A3">
        <v>102</v>
      </c>
      <c r="B3" t="s">
        <v>274</v>
      </c>
      <c r="C3">
        <v>10</v>
      </c>
    </row>
    <row r="4" spans="1:3">
      <c r="A4">
        <v>103</v>
      </c>
      <c r="B4" t="s">
        <v>275</v>
      </c>
      <c r="C4">
        <v>13</v>
      </c>
    </row>
    <row r="5" spans="1:3">
      <c r="A5">
        <v>104</v>
      </c>
      <c r="B5" t="s">
        <v>276</v>
      </c>
      <c r="C5">
        <v>3</v>
      </c>
    </row>
    <row r="6" spans="1:3">
      <c r="A6">
        <v>105</v>
      </c>
      <c r="B6" t="s">
        <v>277</v>
      </c>
      <c r="C6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F0EE9-CE0C-4E54-A43F-1B10ED988838}">
  <sheetPr codeName="Sheet4"/>
  <dimension ref="A1:I25"/>
  <sheetViews>
    <sheetView workbookViewId="0">
      <selection activeCell="A11" sqref="A11"/>
    </sheetView>
  </sheetViews>
  <sheetFormatPr defaultRowHeight="14.5"/>
  <cols>
    <col min="1" max="1" width="9" bestFit="1" customWidth="1"/>
    <col min="2" max="2" width="11.54296875" bestFit="1" customWidth="1"/>
    <col min="3" max="3" width="8.54296875" bestFit="1" customWidth="1"/>
    <col min="4" max="5" width="16.453125" bestFit="1" customWidth="1"/>
    <col min="6" max="6" width="16.453125" customWidth="1"/>
    <col min="7" max="7" width="9.1796875" bestFit="1" customWidth="1"/>
    <col min="8" max="8" width="41.1796875" bestFit="1" customWidth="1"/>
    <col min="9" max="9" width="16" bestFit="1" customWidth="1"/>
  </cols>
  <sheetData>
    <row r="1" spans="1:9">
      <c r="A1" s="6" t="s">
        <v>278</v>
      </c>
      <c r="B1" s="6" t="s">
        <v>23</v>
      </c>
      <c r="C1" s="6" t="s">
        <v>159</v>
      </c>
      <c r="D1" s="6" t="s">
        <v>279</v>
      </c>
      <c r="E1" s="6" t="s">
        <v>280</v>
      </c>
      <c r="F1" s="6" t="s">
        <v>281</v>
      </c>
      <c r="G1" s="6" t="s">
        <v>282</v>
      </c>
      <c r="H1" s="6" t="s">
        <v>283</v>
      </c>
      <c r="I1" s="6" t="s">
        <v>284</v>
      </c>
    </row>
    <row r="2" spans="1:9">
      <c r="A2" t="s">
        <v>285</v>
      </c>
      <c r="B2">
        <v>11203</v>
      </c>
      <c r="C2" t="s">
        <v>173</v>
      </c>
      <c r="D2" s="2">
        <v>44553.479166666664</v>
      </c>
      <c r="E2" s="2">
        <v>44559.375</v>
      </c>
      <c r="F2" s="2" t="s">
        <v>286</v>
      </c>
      <c r="G2">
        <v>103</v>
      </c>
      <c r="H2" t="str">
        <f>VLOOKUP(B2,Customer!$A$2:$I$21,4,FALSE) &amp; " " &amp; VLOOKUP(B2,Customer!$A$2:$I$21,5,FALSE) &amp; " " &amp; VLOOKUP(B2,Customer!$A$2:$I$21,6,FALSE) &amp; " " &amp; VLOOKUP(B2,Customer!$A$2:$I$21,7,FALSE)</f>
        <v>789 Park Road Brisbane QLD 4000</v>
      </c>
      <c r="I2" s="4">
        <f>528.75 * 6 + 150</f>
        <v>3322.5</v>
      </c>
    </row>
    <row r="3" spans="1:9">
      <c r="A3" t="s">
        <v>285</v>
      </c>
      <c r="B3">
        <v>11203</v>
      </c>
      <c r="C3" t="s">
        <v>203</v>
      </c>
      <c r="D3" s="2">
        <v>44553.479166666664</v>
      </c>
      <c r="E3" s="2">
        <v>44561.4375</v>
      </c>
      <c r="F3" s="2" t="s">
        <v>287</v>
      </c>
      <c r="H3" t="str">
        <f>VLOOKUP(B3,Customer!$A$2:$I$21,4,FALSE) &amp; " " &amp; VLOOKUP(B3,Customer!$A$2:$I$21,5,FALSE) &amp; " " &amp; VLOOKUP(B3,Customer!$A$2:$I$21,6,FALSE) &amp; " " &amp; VLOOKUP(B3,Customer!$A$2:$I$21,7,FALSE)</f>
        <v>789 Park Road Brisbane QLD 4000</v>
      </c>
      <c r="I3" s="4">
        <f>562.5 * 8 + 150</f>
        <v>4650</v>
      </c>
    </row>
    <row r="4" spans="1:9">
      <c r="A4" t="s">
        <v>288</v>
      </c>
      <c r="B4">
        <v>11218</v>
      </c>
      <c r="C4" t="s">
        <v>189</v>
      </c>
      <c r="D4" s="2">
        <v>44484.416666666664</v>
      </c>
      <c r="E4" s="2">
        <v>44494.395833333336</v>
      </c>
      <c r="F4" s="2" t="s">
        <v>286</v>
      </c>
      <c r="G4">
        <v>105</v>
      </c>
      <c r="H4" t="str">
        <f>VLOOKUP(B4,Customer!$A$2:$I$21,4,FALSE) &amp; " " &amp; VLOOKUP(B4,Customer!$A$2:$I$21,5,FALSE) &amp; " " &amp; VLOOKUP(B4,Customer!$A$2:$I$21,6,FALSE) &amp; " " &amp; VLOOKUP(B4,Customer!$A$2:$I$21,7,FALSE)</f>
        <v>666 Goldfields Road Bendigo VIC 3550</v>
      </c>
      <c r="I4" s="4">
        <f>793.125 * 10 + 150</f>
        <v>8081.25</v>
      </c>
    </row>
    <row r="5" spans="1:9">
      <c r="A5" t="s">
        <v>289</v>
      </c>
      <c r="B5">
        <v>11207</v>
      </c>
      <c r="C5" t="s">
        <v>198</v>
      </c>
      <c r="D5" s="2">
        <v>44605.583333333336</v>
      </c>
      <c r="E5" s="2">
        <v>44617.541666666664</v>
      </c>
      <c r="F5" s="2" t="s">
        <v>290</v>
      </c>
      <c r="H5" t="str">
        <f>VLOOKUP(B5,Customer!$A$2:$I$21,4,FALSE) &amp; " " &amp; VLOOKUP(B5,Customer!$A$2:$I$21,5,FALSE) &amp; " " &amp; VLOOKUP(B5,Customer!$A$2:$I$21,6,FALSE) &amp; " " &amp; VLOOKUP(B5,Customer!$A$2:$I$21,7,FALSE)</f>
        <v>444 Capital Avenue Canberra ACT 2600</v>
      </c>
      <c r="I5" s="4">
        <f>776.25 * 13 + 150</f>
        <v>10241.25</v>
      </c>
    </row>
    <row r="6" spans="1:9">
      <c r="A6" t="s">
        <v>289</v>
      </c>
      <c r="B6">
        <v>11207</v>
      </c>
      <c r="C6" t="s">
        <v>170</v>
      </c>
      <c r="D6" s="2">
        <v>44605.583333333336</v>
      </c>
      <c r="E6" s="2">
        <v>44617.541666666664</v>
      </c>
      <c r="F6" s="2" t="s">
        <v>286</v>
      </c>
      <c r="G6">
        <v>101</v>
      </c>
      <c r="H6" t="str">
        <f>VLOOKUP(B6,Customer!$A$2:$I$21,4,FALSE) &amp; " " &amp; VLOOKUP(B6,Customer!$A$2:$I$21,5,FALSE) &amp; " " &amp; VLOOKUP(B6,Customer!$A$2:$I$21,6,FALSE) &amp; " " &amp; VLOOKUP(B6,Customer!$A$2:$I$21,7,FALSE)</f>
        <v>444 Capital Avenue Canberra ACT 2600</v>
      </c>
      <c r="I6" s="4">
        <f>562.5 * 13 + 150</f>
        <v>7462.5</v>
      </c>
    </row>
    <row r="7" spans="1:9">
      <c r="A7" t="s">
        <v>289</v>
      </c>
      <c r="B7">
        <v>11207</v>
      </c>
      <c r="C7" t="s">
        <v>247</v>
      </c>
      <c r="D7" s="2">
        <v>44605.583333333336</v>
      </c>
      <c r="E7" s="2">
        <v>44617.541666666664</v>
      </c>
      <c r="F7" s="2" t="s">
        <v>291</v>
      </c>
      <c r="G7">
        <v>102</v>
      </c>
      <c r="H7" t="str">
        <f>VLOOKUP(B7,Customer!$A$2:$I$21,4,FALSE) &amp; " " &amp; VLOOKUP(B7,Customer!$A$2:$I$21,5,FALSE) &amp; " " &amp; VLOOKUP(B7,Customer!$A$2:$I$21,6,FALSE) &amp; " " &amp; VLOOKUP(B7,Customer!$A$2:$I$21,7,FALSE)</f>
        <v>444 Capital Avenue Canberra ACT 2600</v>
      </c>
      <c r="I7" s="4">
        <f>877.5 * 13 + 150</f>
        <v>11557.5</v>
      </c>
    </row>
    <row r="8" spans="1:9">
      <c r="A8" t="s">
        <v>292</v>
      </c>
      <c r="B8">
        <v>11213</v>
      </c>
      <c r="C8" t="s">
        <v>236</v>
      </c>
      <c r="D8" s="2">
        <v>44638.375</v>
      </c>
      <c r="E8" s="3"/>
      <c r="F8" s="3"/>
      <c r="G8">
        <v>101</v>
      </c>
      <c r="H8" t="str">
        <f>VLOOKUP(B8,Customer!$A$2:$I$21,4,FALSE) &amp; " " &amp; VLOOKUP(B8,Customer!$A$2:$I$21,5,FALSE) &amp; " " &amp; VLOOKUP(B8,Customer!$A$2:$I$21,6,FALSE) &amp; " " &amp; VLOOKUP(B8,Customer!$A$2:$I$21,7,FALSE)</f>
        <v>111 Moorabool Street Geelong VIC 3220</v>
      </c>
      <c r="I8" s="5"/>
    </row>
    <row r="9" spans="1:9">
      <c r="A9" t="s">
        <v>292</v>
      </c>
      <c r="B9">
        <v>11213</v>
      </c>
      <c r="C9" t="s">
        <v>241</v>
      </c>
      <c r="D9" s="2">
        <v>44638.375</v>
      </c>
      <c r="E9" s="3"/>
      <c r="F9" s="3"/>
      <c r="H9" t="str">
        <f>VLOOKUP(B9,Customer!$A$2:$I$21,4,FALSE) &amp; " " &amp; VLOOKUP(B9,Customer!$A$2:$I$21,5,FALSE) &amp; " " &amp; VLOOKUP(B9,Customer!$A$2:$I$21,6,FALSE) &amp; " " &amp; VLOOKUP(B9,Customer!$A$2:$I$21,7,FALSE)</f>
        <v>111 Moorabool Street Geelong VIC 3220</v>
      </c>
      <c r="I9" s="5"/>
    </row>
    <row r="10" spans="1:9">
      <c r="A10" t="s">
        <v>293</v>
      </c>
      <c r="B10">
        <v>11209</v>
      </c>
      <c r="C10" t="s">
        <v>221</v>
      </c>
      <c r="D10" s="2">
        <v>44652.666666666664</v>
      </c>
      <c r="E10" s="3"/>
      <c r="F10" s="3"/>
      <c r="G10">
        <v>104</v>
      </c>
      <c r="H10" t="str">
        <f>VLOOKUP(B10,Customer!$A$2:$I$21,4,FALSE) &amp; " " &amp; VLOOKUP(B10,Customer!$A$2:$I$21,5,FALSE) &amp; " " &amp; VLOOKUP(B10,Customer!$A$2:$I$21,6,FALSE) &amp; " " &amp; VLOOKUP(B10,Customer!$A$2:$I$21,7,FALSE)</f>
        <v>666 Mountain View Drive Hobart TAS 7000</v>
      </c>
      <c r="I10" s="5"/>
    </row>
    <row r="11" spans="1:9">
      <c r="A11" t="s">
        <v>294</v>
      </c>
      <c r="B11">
        <v>11220</v>
      </c>
      <c r="C11" t="s">
        <v>213</v>
      </c>
      <c r="D11" s="2">
        <v>44701.583333333336</v>
      </c>
      <c r="E11" s="3"/>
      <c r="F11" s="3"/>
      <c r="G11">
        <v>104</v>
      </c>
      <c r="H11" t="str">
        <f>VLOOKUP(B11,Customer!$A$2:$I$21,4,FALSE) &amp; " " &amp; VLOOKUP(B11,Customer!$A$2:$I$21,5,FALSE) &amp; " " &amp; VLOOKUP(B11,Customer!$A$2:$I$21,6,FALSE) &amp; " " &amp; VLOOKUP(B11,Customer!$A$2:$I$21,7,FALSE)</f>
        <v>888 Oceanview Terrace Bunbury WA 6230</v>
      </c>
      <c r="I11" s="5"/>
    </row>
    <row r="12" spans="1:9">
      <c r="D12" s="2"/>
    </row>
    <row r="13" spans="1:9">
      <c r="H13" s="11"/>
    </row>
    <row r="14" spans="1:9">
      <c r="H14" s="11"/>
    </row>
    <row r="15" spans="1:9">
      <c r="H15" s="11"/>
    </row>
    <row r="16" spans="1:9">
      <c r="H16" s="11"/>
    </row>
    <row r="17" spans="7:8">
      <c r="H17" s="11"/>
    </row>
    <row r="18" spans="7:8">
      <c r="H18" s="11"/>
    </row>
    <row r="23" spans="7:8">
      <c r="H23" s="11"/>
    </row>
    <row r="24" spans="7:8">
      <c r="H24" s="11"/>
    </row>
    <row r="25" spans="7:8">
      <c r="G25" s="12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74AE3FEDEC07449CC0AB1E220930F8" ma:contentTypeVersion="5" ma:contentTypeDescription="Create a new document." ma:contentTypeScope="" ma:versionID="f01baa5f42110f6f92fd2a46df5661e0">
  <xsd:schema xmlns:xsd="http://www.w3.org/2001/XMLSchema" xmlns:xs="http://www.w3.org/2001/XMLSchema" xmlns:p="http://schemas.microsoft.com/office/2006/metadata/properties" xmlns:ns2="2227dbfb-786d-4fef-a8b9-59fb586449b7" xmlns:ns3="4888a66a-0b6d-4153-9e71-45915b0035c4" targetNamespace="http://schemas.microsoft.com/office/2006/metadata/properties" ma:root="true" ma:fieldsID="a8d3999f37aa2db1847e9d621d374130" ns2:_="" ns3:_="">
    <xsd:import namespace="2227dbfb-786d-4fef-a8b9-59fb586449b7"/>
    <xsd:import namespace="4888a66a-0b6d-4153-9e71-45915b0035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27dbfb-786d-4fef-a8b9-59fb586449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88a66a-0b6d-4153-9e71-45915b0035c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888a66a-0b6d-4153-9e71-45915b0035c4">
      <UserInfo>
        <DisplayName>Alicia Quek</DisplayName>
        <AccountId>13</AccountId>
        <AccountType/>
      </UserInfo>
      <UserInfo>
        <DisplayName>Joshua Leong</DisplayName>
        <AccountId>12</AccountId>
        <AccountType/>
      </UserInfo>
      <UserInfo>
        <DisplayName>Aaron Siah</DisplayName>
        <AccountId>14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EB2FF1E1-2075-4B35-ABB5-2FA8E02F36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27dbfb-786d-4fef-a8b9-59fb586449b7"/>
    <ds:schemaRef ds:uri="4888a66a-0b6d-4153-9e71-45915b0035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DCCEFC-3CD2-48E9-AAC0-FF9BC16961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B14788-A2CF-44D8-B5BD-54DD3B194DCB}">
  <ds:schemaRefs>
    <ds:schemaRef ds:uri="http://purl.org/dc/elements/1.1/"/>
    <ds:schemaRef ds:uri="http://schemas.microsoft.com/office/2006/metadata/properties"/>
    <ds:schemaRef ds:uri="62b4fd04-f9b0-4b9f-8e0c-40171cb6c7ea"/>
    <ds:schemaRef ds:uri="78ff7ca6-fb06-4b3b-9a3b-44ab1ad7d2c8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terms/"/>
    <ds:schemaRef ds:uri="4888a66a-0b6d-4153-9e71-45915b0035c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84</vt:i4>
      </vt:variant>
    </vt:vector>
  </HeadingPairs>
  <TitlesOfParts>
    <vt:vector size="90" baseType="lpstr">
      <vt:lpstr>Documentation</vt:lpstr>
      <vt:lpstr>Menu</vt:lpstr>
      <vt:lpstr>Customer</vt:lpstr>
      <vt:lpstr>CarDetails</vt:lpstr>
      <vt:lpstr>Add-ons</vt:lpstr>
      <vt:lpstr>RentalDetails</vt:lpstr>
      <vt:lpstr>AMGCR</vt:lpstr>
      <vt:lpstr>AMGCY</vt:lpstr>
      <vt:lpstr>AstMartCM</vt:lpstr>
      <vt:lpstr>AstMartCR</vt:lpstr>
      <vt:lpstr>AstMartCY</vt:lpstr>
      <vt:lpstr>AudiCM</vt:lpstr>
      <vt:lpstr>AudiCR</vt:lpstr>
      <vt:lpstr>BentaygaCR</vt:lpstr>
      <vt:lpstr>BentaygaSCY</vt:lpstr>
      <vt:lpstr>BentCM</vt:lpstr>
      <vt:lpstr>BentleyCR</vt:lpstr>
      <vt:lpstr>BMWCM</vt:lpstr>
      <vt:lpstr>BMWCR</vt:lpstr>
      <vt:lpstr>BOXCR</vt:lpstr>
      <vt:lpstr>BoxCY</vt:lpstr>
      <vt:lpstr>CAYECR</vt:lpstr>
      <vt:lpstr>CayenneCY</vt:lpstr>
      <vt:lpstr>CAYMANCR</vt:lpstr>
      <vt:lpstr>CaymanCY</vt:lpstr>
      <vt:lpstr>CAYMCR</vt:lpstr>
      <vt:lpstr>ContGTCR</vt:lpstr>
      <vt:lpstr>ContGTCY</vt:lpstr>
      <vt:lpstr>ContSsCR</vt:lpstr>
      <vt:lpstr>ContSsCY</vt:lpstr>
      <vt:lpstr>cullCR</vt:lpstr>
      <vt:lpstr>CullCY</vt:lpstr>
      <vt:lpstr>Customer</vt:lpstr>
      <vt:lpstr>Dress</vt:lpstr>
      <vt:lpstr>EClassCR</vt:lpstr>
      <vt:lpstr>EclassCY</vt:lpstr>
      <vt:lpstr>epaceCR</vt:lpstr>
      <vt:lpstr>EpaceCY</vt:lpstr>
      <vt:lpstr>FlyCR</vt:lpstr>
      <vt:lpstr>FlySCY</vt:lpstr>
      <vt:lpstr>GhibliCR</vt:lpstr>
      <vt:lpstr>GhibliCY</vt:lpstr>
      <vt:lpstr>ghostCR</vt:lpstr>
      <vt:lpstr>GhostCY</vt:lpstr>
      <vt:lpstr>GLECR</vt:lpstr>
      <vt:lpstr>GLECY</vt:lpstr>
      <vt:lpstr>i8CR</vt:lpstr>
      <vt:lpstr>i8CY</vt:lpstr>
      <vt:lpstr>JagCM</vt:lpstr>
      <vt:lpstr>JAGCR</vt:lpstr>
      <vt:lpstr>MacanCR</vt:lpstr>
      <vt:lpstr>MacanCY</vt:lpstr>
      <vt:lpstr>MACANnewCR</vt:lpstr>
      <vt:lpstr>MasCM</vt:lpstr>
      <vt:lpstr>MASCR</vt:lpstr>
      <vt:lpstr>MercCM</vt:lpstr>
      <vt:lpstr>MERCR</vt:lpstr>
      <vt:lpstr>MerGLECR</vt:lpstr>
      <vt:lpstr>Nine11CR</vt:lpstr>
      <vt:lpstr>Nine11CY</vt:lpstr>
      <vt:lpstr>panCR</vt:lpstr>
      <vt:lpstr>PanCY</vt:lpstr>
      <vt:lpstr>PapideCR</vt:lpstr>
      <vt:lpstr>phantCR</vt:lpstr>
      <vt:lpstr>PhantomCY</vt:lpstr>
      <vt:lpstr>PorCM</vt:lpstr>
      <vt:lpstr>PORCR</vt:lpstr>
      <vt:lpstr>Q7CR</vt:lpstr>
      <vt:lpstr>Q7CY</vt:lpstr>
      <vt:lpstr>QuaCR</vt:lpstr>
      <vt:lpstr>QuaCY</vt:lpstr>
      <vt:lpstr>RapideCR</vt:lpstr>
      <vt:lpstr>RapideCY</vt:lpstr>
      <vt:lpstr>Rental</vt:lpstr>
      <vt:lpstr>RRCM</vt:lpstr>
      <vt:lpstr>RRCR</vt:lpstr>
      <vt:lpstr>RS5CR</vt:lpstr>
      <vt:lpstr>RS5CY</vt:lpstr>
      <vt:lpstr>RSQ8CR</vt:lpstr>
      <vt:lpstr>RSQ8CY</vt:lpstr>
      <vt:lpstr>SClassCR</vt:lpstr>
      <vt:lpstr>SclassCY</vt:lpstr>
      <vt:lpstr>SevenSCR</vt:lpstr>
      <vt:lpstr>SevenSCY</vt:lpstr>
      <vt:lpstr>VantageCR</vt:lpstr>
      <vt:lpstr>VantageCY</vt:lpstr>
      <vt:lpstr>x7CR</vt:lpstr>
      <vt:lpstr>X7CY</vt:lpstr>
      <vt:lpstr>z4CR</vt:lpstr>
      <vt:lpstr>Z4CY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 Chan</dc:creator>
  <cp:keywords/>
  <dc:description/>
  <cp:lastModifiedBy>Kai Foo</cp:lastModifiedBy>
  <cp:revision/>
  <dcterms:created xsi:type="dcterms:W3CDTF">2022-08-29T12:05:27Z</dcterms:created>
  <dcterms:modified xsi:type="dcterms:W3CDTF">2023-09-21T07:52:00Z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0x0101006A74AE3FEDEC07449CC0AB1E220930F8</vt:lpwstr>
  </property>
</Properties>
</file>